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endszergazda\Downloads\"/>
    </mc:Choice>
  </mc:AlternateContent>
  <bookViews>
    <workbookView xWindow="0" yWindow="0" windowWidth="23040" windowHeight="9072"/>
  </bookViews>
  <sheets>
    <sheet name="Project schedule" sheetId="11" r:id="rId1"/>
  </sheets>
  <externalReferences>
    <externalReference r:id="rId2"/>
  </externalReferences>
  <definedNames>
    <definedName name="Display_Week">'Project schedule'!$Q$2</definedName>
    <definedName name="ll">'[1]Project schedule'!$E1</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1" l="1"/>
  <c r="H11" i="11"/>
  <c r="H12" i="11"/>
  <c r="H13" i="11"/>
  <c r="H15" i="11"/>
  <c r="H14" i="11"/>
  <c r="H7" i="11"/>
  <c r="E9" i="11" l="1"/>
  <c r="F9" i="11" l="1"/>
  <c r="H9" i="11" s="1"/>
  <c r="I5" i="11"/>
  <c r="H29" i="11"/>
  <c r="H22" i="11"/>
  <c r="H16" i="11"/>
  <c r="H8" i="11"/>
  <c r="H23" i="11" l="1"/>
  <c r="H24" i="11"/>
  <c r="I6" i="11"/>
  <c r="H27" i="11" l="1"/>
  <c r="H25" i="11"/>
  <c r="J5" i="11"/>
  <c r="K5" i="11" s="1"/>
  <c r="L5" i="11" s="1"/>
  <c r="M5" i="11" s="1"/>
  <c r="N5" i="11" s="1"/>
  <c r="O5" i="11" s="1"/>
  <c r="P5" i="11" s="1"/>
  <c r="I4" i="11"/>
  <c r="H26" i="11" l="1"/>
  <c r="H18" i="11"/>
  <c r="P4" i="11"/>
  <c r="Q5" i="11"/>
  <c r="R5" i="11" s="1"/>
  <c r="S5" i="11" s="1"/>
  <c r="T5" i="11" s="1"/>
  <c r="U5" i="11" s="1"/>
  <c r="V5" i="11" s="1"/>
  <c r="W5" i="11" s="1"/>
  <c r="J6" i="11"/>
  <c r="H21" i="11" l="1"/>
  <c r="H20" i="11"/>
  <c r="H19"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AI6" i="11"/>
  <c r="BQ5" i="11" l="1"/>
  <c r="BP6" i="11"/>
  <c r="AJ6" i="11"/>
  <c r="BR5" i="11" l="1"/>
  <c r="BQ6" i="11"/>
  <c r="AK6" i="11"/>
  <c r="BR6" i="11" l="1"/>
  <c r="BS5" i="11"/>
  <c r="AL6" i="11"/>
  <c r="BS6" i="11" l="1"/>
  <c r="BT5" i="11"/>
  <c r="AM6" i="11"/>
  <c r="BU5" i="11" l="1"/>
  <c r="BT4" i="11"/>
  <c r="BT6" i="11"/>
  <c r="AN6" i="11"/>
  <c r="BU6" i="11" l="1"/>
  <c r="BV5" i="11"/>
  <c r="AO6" i="11"/>
  <c r="BW5" i="11" l="1"/>
  <c r="BV6" i="11"/>
  <c r="AP6" i="11"/>
  <c r="BX5" i="11" l="1"/>
  <c r="BW6" i="11"/>
  <c r="AQ6" i="11"/>
  <c r="BX6" i="11" l="1"/>
  <c r="BY5" i="11"/>
  <c r="AR6" i="11"/>
  <c r="BY6" i="11" l="1"/>
  <c r="BZ5" i="11"/>
  <c r="BZ6" i="11" l="1"/>
  <c r="CA5" i="11"/>
  <c r="CA6" i="11" l="1"/>
  <c r="CB5" i="11"/>
  <c r="CA4" i="11"/>
  <c r="CB6" i="11" l="1"/>
  <c r="CC5" i="11"/>
  <c r="CC6" i="11" l="1"/>
  <c r="CD5" i="11"/>
  <c r="CE5" i="11" l="1"/>
  <c r="CD6" i="11"/>
  <c r="CF5" i="11" l="1"/>
  <c r="CE6" i="11"/>
  <c r="CG5" i="11" l="1"/>
  <c r="CF6" i="11"/>
  <c r="CG6" i="11" l="1"/>
  <c r="CH5" i="11"/>
  <c r="CI5" i="11" l="1"/>
  <c r="CH4" i="11"/>
  <c r="CH6" i="11"/>
  <c r="CI6" i="11" l="1"/>
  <c r="CJ5" i="11"/>
  <c r="CK5" i="11" l="1"/>
  <c r="CJ6" i="11"/>
  <c r="CK6" i="11" l="1"/>
  <c r="CL5" i="11"/>
  <c r="CM5" i="11" l="1"/>
  <c r="CL6" i="11"/>
  <c r="CM6" i="11" l="1"/>
  <c r="CN5" i="11"/>
  <c r="CN6" i="11" l="1"/>
  <c r="CO5" i="11"/>
  <c r="CO6" i="11" l="1"/>
  <c r="CO4" i="11"/>
  <c r="CP5" i="11"/>
  <c r="CQ5" i="11" l="1"/>
  <c r="CP6" i="11"/>
  <c r="CR5" i="11" l="1"/>
  <c r="CQ6" i="11"/>
  <c r="CS5" i="11" l="1"/>
  <c r="CR6" i="11"/>
  <c r="CT5" i="11" l="1"/>
  <c r="CS6" i="11"/>
  <c r="CU5" i="11" l="1"/>
  <c r="CT6" i="11"/>
  <c r="CU6" i="11" l="1"/>
  <c r="CV5" i="11"/>
  <c r="CW5" i="11" l="1"/>
  <c r="CV4" i="11"/>
  <c r="CV6" i="11"/>
  <c r="CW6" i="11" l="1"/>
  <c r="CX5" i="11"/>
  <c r="CX6" i="11" l="1"/>
  <c r="CY5" i="11"/>
  <c r="CY6" i="11" l="1"/>
  <c r="CZ5" i="11"/>
  <c r="DA5" i="11" l="1"/>
  <c r="CZ6" i="11"/>
  <c r="DA6" i="11" l="1"/>
  <c r="DB5" i="11"/>
  <c r="DB6" i="11" l="1"/>
  <c r="DC5" i="11"/>
  <c r="DC6" i="11" l="1"/>
  <c r="DD5" i="11"/>
  <c r="DC4" i="11"/>
  <c r="DE5" i="11" l="1"/>
  <c r="DD6" i="11"/>
  <c r="DE6" i="11" l="1"/>
  <c r="DF5" i="11"/>
  <c r="DG5" i="11" l="1"/>
  <c r="DF6" i="11"/>
  <c r="DH5" i="11" l="1"/>
  <c r="DG6" i="11"/>
  <c r="DI5" i="11" l="1"/>
  <c r="DH6" i="11"/>
  <c r="DI6" i="11" l="1"/>
  <c r="DJ5" i="11"/>
  <c r="DK5" i="11" l="1"/>
  <c r="DJ4" i="11"/>
  <c r="DJ6" i="11"/>
  <c r="DL5" i="11" l="1"/>
  <c r="DK6" i="11"/>
  <c r="DL6" i="11" l="1"/>
  <c r="DM5" i="11"/>
  <c r="DN5" i="11" l="1"/>
  <c r="DM6" i="11"/>
  <c r="DO5" i="11" l="1"/>
  <c r="DN6" i="11"/>
  <c r="DP5" i="11" l="1"/>
  <c r="DO6" i="11"/>
  <c r="DP6" i="11" l="1"/>
  <c r="DQ5" i="11"/>
  <c r="DQ6" i="11" l="1"/>
  <c r="DR5" i="11"/>
  <c r="DQ4" i="11"/>
  <c r="DS5" i="11" l="1"/>
  <c r="DR6" i="11"/>
  <c r="DS6" i="11" l="1"/>
  <c r="DT5" i="11"/>
  <c r="DT6" i="11" l="1"/>
  <c r="DU5" i="11"/>
  <c r="DV5" i="11" l="1"/>
  <c r="DU6" i="11"/>
  <c r="DW5" i="11" l="1"/>
  <c r="DV6" i="11"/>
  <c r="DW6" i="11" l="1"/>
  <c r="DX5" i="11"/>
  <c r="DY5" i="11" l="1"/>
  <c r="DX4" i="11"/>
  <c r="DX6" i="11"/>
  <c r="DZ5" i="11" l="1"/>
  <c r="DY6" i="11"/>
  <c r="EA5" i="11" l="1"/>
  <c r="DZ6" i="11"/>
  <c r="EB5" i="11" l="1"/>
  <c r="EA6" i="11"/>
  <c r="EC5" i="11" l="1"/>
  <c r="EB6" i="11"/>
  <c r="EC6" i="11" l="1"/>
  <c r="ED5" i="11"/>
  <c r="ED6" i="11" s="1"/>
</calcChain>
</file>

<file path=xl/sharedStrings.xml><?xml version="1.0" encoding="utf-8"?>
<sst xmlns="http://schemas.openxmlformats.org/spreadsheetml/2006/main" count="49" uniqueCount="34">
  <si>
    <t>PROGRESS</t>
  </si>
  <si>
    <t>START</t>
  </si>
  <si>
    <t>END</t>
  </si>
  <si>
    <t>TASK</t>
  </si>
  <si>
    <t xml:space="preserve">Do not delete this row. This row is hidden to preserve a formula that is used to highlight the current day within the project schedule. </t>
  </si>
  <si>
    <t>Project start:</t>
  </si>
  <si>
    <t>Display week:</t>
  </si>
  <si>
    <t>ASSIGNED TO</t>
  </si>
  <si>
    <t>TurboRent</t>
  </si>
  <si>
    <t>Figma design</t>
  </si>
  <si>
    <t>Designing components</t>
  </si>
  <si>
    <t>Comunication with backend w/ Angular Services</t>
  </si>
  <si>
    <t>Frontend - Kelemen Balázs</t>
  </si>
  <si>
    <t>Backend - Pidl Ádám</t>
  </si>
  <si>
    <t>Database - Bata Dániel Tamás</t>
  </si>
  <si>
    <t>Fullstack - Kelemen Balázs János</t>
  </si>
  <si>
    <t>Contact Form &amp; allowing contact with support</t>
  </si>
  <si>
    <t>Login &amp; Register form</t>
  </si>
  <si>
    <t>Dashboard &amp; Dashboard functions</t>
  </si>
  <si>
    <t>Renting 101 &amp; Renting functions</t>
  </si>
  <si>
    <t>Pidl Ádám</t>
  </si>
  <si>
    <t xml:space="preserve">
Backend, using NodeJS &amp; ExpressJS</t>
  </si>
  <si>
    <t>MySQL pools &amp; connections</t>
  </si>
  <si>
    <t>API Requests</t>
  </si>
  <si>
    <t>Migrating requests to Postman</t>
  </si>
  <si>
    <t>Test cases</t>
  </si>
  <si>
    <t>Database - Bata Dániel</t>
  </si>
  <si>
    <t>Kelemen Balázs János</t>
  </si>
  <si>
    <t>Bata Dániel Tamás</t>
  </si>
  <si>
    <t>Database plan</t>
  </si>
  <si>
    <t>Database tables</t>
  </si>
  <si>
    <t>Filling tables up with dummy data</t>
  </si>
  <si>
    <t>Procedures</t>
  </si>
  <si>
    <t>Documentations regarding to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</si>
</sst>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m/d/yy;@"/>
    <numFmt numFmtId="166" formatCode="ddd\,\ m/d/yyyy"/>
    <numFmt numFmtId="167" formatCode="d"/>
    <numFmt numFmtId="168" formatCode="yyyy/mm/dd;@"/>
    <numFmt numFmtId="169" formatCode="yyyy\,\ mmm\,\ d\ "/>
  </numFmts>
  <fonts count="25"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16" fillId="10" borderId="18" xfId="0" applyNumberFormat="1" applyFont="1" applyFill="1" applyBorder="1" applyAlignment="1">
      <alignment horizontal="center" vertical="center"/>
    </xf>
    <xf numFmtId="167" fontId="16" fillId="10" borderId="16" xfId="0" applyNumberFormat="1" applyFont="1" applyFill="1" applyBorder="1" applyAlignment="1">
      <alignment horizontal="center" vertical="center"/>
    </xf>
    <xf numFmtId="167" fontId="16" fillId="10" borderId="17" xfId="0" applyNumberFormat="1" applyFont="1" applyFill="1" applyBorder="1" applyAlignment="1">
      <alignment horizontal="center" vertical="center"/>
    </xf>
    <xf numFmtId="0" fontId="17" fillId="2" borderId="15" xfId="0" applyFont="1" applyFill="1" applyBorder="1" applyAlignment="1">
      <alignment horizontal="center" vertical="center" shrinkToFit="1"/>
    </xf>
    <xf numFmtId="0" fontId="17" fillId="2" borderId="12" xfId="0" applyFont="1" applyFill="1" applyBorder="1" applyAlignment="1">
      <alignment horizontal="center" vertical="center" shrinkToFit="1"/>
    </xf>
    <xf numFmtId="0" fontId="17" fillId="2" borderId="13"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5" fontId="14"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0" fontId="14"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5" fontId="14"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9" fontId="1" fillId="4" borderId="5" xfId="2" applyFont="1" applyFill="1" applyBorder="1" applyAlignment="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5" fontId="14"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9"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5" fontId="14" fillId="0" borderId="0" xfId="10" applyFont="1" applyBorder="1">
      <alignment horizontal="center" vertical="center"/>
    </xf>
    <xf numFmtId="0" fontId="19" fillId="2" borderId="0" xfId="0" applyFont="1" applyFill="1" applyAlignment="1">
      <alignment horizontal="left" vertical="center" indent="1"/>
    </xf>
    <xf numFmtId="0" fontId="19" fillId="2" borderId="0" xfId="0" applyFont="1" applyFill="1" applyAlignment="1">
      <alignment vertical="center"/>
    </xf>
    <xf numFmtId="9" fontId="1" fillId="2" borderId="0" xfId="2" applyFont="1" applyFill="1" applyBorder="1" applyAlignment="1">
      <alignment horizontal="center" vertical="center"/>
    </xf>
    <xf numFmtId="165" fontId="20"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6" applyFont="1" applyAlignment="1">
      <alignment horizontal="left" vertical="center" indent="1"/>
    </xf>
    <xf numFmtId="0" fontId="21" fillId="0" borderId="0" xfId="7" applyFont="1" applyAlignment="1">
      <alignment horizontal="left" vertical="center" indent="1"/>
    </xf>
    <xf numFmtId="0" fontId="24" fillId="0" borderId="0" xfId="5" applyFont="1" applyAlignment="1">
      <alignment horizontal="left"/>
    </xf>
    <xf numFmtId="168" fontId="14" fillId="3" borderId="6" xfId="10" applyNumberFormat="1" applyFont="1" applyFill="1" applyBorder="1">
      <alignment horizontal="center" vertical="center"/>
    </xf>
    <xf numFmtId="168" fontId="14" fillId="3" borderId="7" xfId="10" applyNumberFormat="1" applyFont="1" applyFill="1" applyBorder="1">
      <alignment horizontal="center" vertical="center"/>
    </xf>
    <xf numFmtId="168" fontId="14" fillId="4" borderId="5" xfId="10" applyNumberFormat="1" applyFont="1" applyFill="1" applyBorder="1">
      <alignment horizontal="center" vertical="center"/>
    </xf>
    <xf numFmtId="168" fontId="14" fillId="5" borderId="8" xfId="10" applyNumberFormat="1" applyFont="1" applyFill="1" applyBorder="1">
      <alignment horizontal="center" vertical="center"/>
    </xf>
    <xf numFmtId="0" fontId="14" fillId="4" borderId="5" xfId="12" applyFont="1" applyFill="1" applyBorder="1" applyAlignment="1">
      <alignment horizontal="left" vertical="center" wrapText="1" indent="2"/>
    </xf>
    <xf numFmtId="169" fontId="14" fillId="2" borderId="11" xfId="0" applyNumberFormat="1" applyFont="1" applyFill="1" applyBorder="1" applyAlignment="1">
      <alignment horizontal="center" vertical="center" wrapText="1"/>
    </xf>
    <xf numFmtId="169" fontId="14" fillId="2" borderId="17" xfId="0" applyNumberFormat="1" applyFont="1" applyFill="1" applyBorder="1" applyAlignment="1">
      <alignment horizontal="center" vertical="center" wrapText="1"/>
    </xf>
    <xf numFmtId="169" fontId="14" fillId="2" borderId="16" xfId="0" applyNumberFormat="1" applyFont="1" applyFill="1" applyBorder="1" applyAlignment="1">
      <alignment horizontal="center" vertical="center" wrapText="1"/>
    </xf>
    <xf numFmtId="0" fontId="15" fillId="9" borderId="14" xfId="0" applyFont="1" applyFill="1" applyBorder="1" applyAlignment="1">
      <alignment horizontal="center" vertical="center"/>
    </xf>
    <xf numFmtId="0" fontId="4" fillId="2" borderId="19" xfId="0" applyFont="1" applyFill="1" applyBorder="1"/>
    <xf numFmtId="0" fontId="22" fillId="0" borderId="0" xfId="0" applyFont="1" applyAlignment="1">
      <alignment horizontal="left"/>
    </xf>
    <xf numFmtId="0" fontId="23" fillId="0" borderId="0" xfId="0" applyFont="1"/>
    <xf numFmtId="166" fontId="22" fillId="0" borderId="0" xfId="9" applyFont="1" applyBorder="1" applyAlignment="1">
      <alignment horizontal="left"/>
    </xf>
    <xf numFmtId="0" fontId="21" fillId="0" borderId="0" xfId="8" applyFont="1" applyAlignment="1">
      <alignment horizontal="left"/>
    </xf>
    <xf numFmtId="0" fontId="4" fillId="0" borderId="0" xfId="0" applyFont="1"/>
    <xf numFmtId="0" fontId="9" fillId="0" borderId="0" xfId="3" applyAlignment="1">
      <alignment wrapText="1"/>
    </xf>
    <xf numFmtId="0" fontId="15" fillId="9" borderId="14" xfId="0" applyFont="1" applyFill="1" applyBorder="1" applyAlignment="1">
      <alignment horizontal="left" vertical="center" indent="1"/>
    </xf>
    <xf numFmtId="0" fontId="4" fillId="2" borderId="19" xfId="0" applyFont="1" applyFill="1" applyBorder="1" applyAlignment="1">
      <alignment horizontal="left" indent="1"/>
    </xf>
    <xf numFmtId="0" fontId="15" fillId="9" borderId="14" xfId="0" applyFont="1" applyFill="1" applyBorder="1" applyAlignment="1">
      <alignment vertical="center"/>
    </xf>
  </cellXfs>
  <cellStyles count="13">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builtinId="8" customBuiltin="1"/>
    <cellStyle name="Name" xfId="11"/>
    <cellStyle name="Normal" xfId="0" builtinId="0"/>
    <cellStyle name="Percent" xfId="2" builtinId="5"/>
    <cellStyle name="Project Start" xfId="9"/>
    <cellStyle name="Task" xfId="12"/>
    <cellStyle name="Title" xfId="5" builtinId="15" customBuiltin="1"/>
    <cellStyle name="zHiddenText" xfId="3"/>
  </cellStyles>
  <dxfs count="104">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03"/>
      <tableStyleElement type="headerRow" dxfId="102"/>
      <tableStyleElement type="totalRow" dxfId="101"/>
      <tableStyleElement type="firstColumn" dxfId="100"/>
      <tableStyleElement type="lastColumn" dxfId="99"/>
      <tableStyleElement type="firstRowStripe" dxfId="98"/>
      <tableStyleElement type="secondRowStripe" dxfId="97"/>
      <tableStyleElement type="firstColumnStripe" dxfId="96"/>
      <tableStyleElement type="secondColumnStripe" dxfId="9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4F1"/>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kelemnbalazs/Downloads/Simple%20Gantt%20char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chedule"/>
    </sheetNames>
    <sheetDataSet>
      <sheetData sheetId="0" refreshError="1"/>
    </sheetDataSet>
  </externalBook>
</externalLink>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R35"/>
  <sheetViews>
    <sheetView showGridLines="0" tabSelected="1" showRuler="0" topLeftCell="A17" zoomScale="81" zoomScaleNormal="100" zoomScalePageLayoutView="70" workbookViewId="0">
      <selection activeCell="F28" sqref="F28"/>
    </sheetView>
  </sheetViews>
  <sheetFormatPr defaultColWidth="8.69921875" defaultRowHeight="30" customHeight="1" x14ac:dyDescent="0.25"/>
  <cols>
    <col min="1" max="1" width="2.69921875" style="7" customWidth="1"/>
    <col min="2" max="2" width="42.69921875" customWidth="1"/>
    <col min="3" max="3" width="22.69921875" customWidth="1"/>
    <col min="4" max="4" width="10.69921875" customWidth="1"/>
    <col min="5" max="5" width="10.69921875" style="2" customWidth="1"/>
    <col min="6" max="6" width="10.69921875" customWidth="1"/>
    <col min="7" max="7" width="2.69921875" customWidth="1"/>
    <col min="8" max="8" width="6" hidden="1" customWidth="1"/>
    <col min="9" max="134" width="2.69921875" customWidth="1"/>
  </cols>
  <sheetData>
    <row r="1" spans="1:148" ht="90" customHeight="1" x14ac:dyDescent="1.45">
      <c r="A1" s="8"/>
      <c r="B1" s="75" t="s">
        <v>8</v>
      </c>
      <c r="C1" s="12"/>
      <c r="D1" s="13"/>
      <c r="E1" s="14"/>
      <c r="F1" s="15"/>
      <c r="H1" s="1"/>
      <c r="I1" s="89" t="s">
        <v>5</v>
      </c>
      <c r="J1" s="90"/>
      <c r="K1" s="90"/>
      <c r="L1" s="90"/>
      <c r="M1" s="90"/>
      <c r="N1" s="90"/>
      <c r="O1" s="90"/>
      <c r="P1" s="18"/>
      <c r="Q1" s="88">
        <v>45537</v>
      </c>
      <c r="R1" s="87"/>
      <c r="S1" s="87"/>
      <c r="T1" s="87"/>
      <c r="U1" s="87"/>
      <c r="V1" s="87"/>
      <c r="W1" s="87"/>
      <c r="X1" s="87"/>
      <c r="Y1" s="87"/>
      <c r="Z1" s="87"/>
    </row>
    <row r="2" spans="1:148" ht="30" customHeight="1" x14ac:dyDescent="0.6">
      <c r="B2" s="73" t="s">
        <v>15</v>
      </c>
      <c r="C2" s="74"/>
      <c r="D2" s="16"/>
      <c r="E2" s="17"/>
      <c r="F2" s="16"/>
      <c r="I2" s="89" t="s">
        <v>6</v>
      </c>
      <c r="J2" s="90"/>
      <c r="K2" s="90"/>
      <c r="L2" s="90"/>
      <c r="M2" s="90"/>
      <c r="N2" s="90"/>
      <c r="O2" s="90"/>
      <c r="P2" s="18"/>
      <c r="Q2" s="86">
        <v>1</v>
      </c>
      <c r="R2" s="87"/>
      <c r="S2" s="87"/>
      <c r="T2" s="87"/>
      <c r="U2" s="87"/>
      <c r="V2" s="87"/>
      <c r="W2" s="87"/>
      <c r="X2" s="87"/>
      <c r="Y2" s="87"/>
      <c r="Z2" s="87"/>
    </row>
    <row r="3" spans="1:148" s="19" customFormat="1" ht="30" customHeight="1" x14ac:dyDescent="0.25">
      <c r="A3" s="7"/>
      <c r="B3" s="73" t="s">
        <v>13</v>
      </c>
      <c r="D3" s="20"/>
      <c r="E3" s="21"/>
    </row>
    <row r="4" spans="1:148" s="19" customFormat="1" ht="30" customHeight="1" x14ac:dyDescent="0.25">
      <c r="A4" s="8"/>
      <c r="B4" s="73" t="s">
        <v>14</v>
      </c>
      <c r="E4" s="22"/>
      <c r="I4" s="83">
        <f>I5</f>
        <v>45537</v>
      </c>
      <c r="J4" s="81"/>
      <c r="K4" s="81"/>
      <c r="L4" s="81"/>
      <c r="M4" s="81"/>
      <c r="N4" s="81"/>
      <c r="O4" s="81"/>
      <c r="P4" s="81">
        <f>P5</f>
        <v>45544</v>
      </c>
      <c r="Q4" s="81"/>
      <c r="R4" s="81"/>
      <c r="S4" s="81"/>
      <c r="T4" s="81"/>
      <c r="U4" s="81"/>
      <c r="V4" s="81"/>
      <c r="W4" s="81">
        <f>W5</f>
        <v>45551</v>
      </c>
      <c r="X4" s="81"/>
      <c r="Y4" s="81"/>
      <c r="Z4" s="81"/>
      <c r="AA4" s="81"/>
      <c r="AB4" s="81"/>
      <c r="AC4" s="81"/>
      <c r="AD4" s="81">
        <f>AD5</f>
        <v>45558</v>
      </c>
      <c r="AE4" s="81"/>
      <c r="AF4" s="81"/>
      <c r="AG4" s="81"/>
      <c r="AH4" s="81"/>
      <c r="AI4" s="81"/>
      <c r="AJ4" s="81"/>
      <c r="AK4" s="81">
        <f>AK5</f>
        <v>45565</v>
      </c>
      <c r="AL4" s="81"/>
      <c r="AM4" s="81"/>
      <c r="AN4" s="81"/>
      <c r="AO4" s="81"/>
      <c r="AP4" s="81"/>
      <c r="AQ4" s="81"/>
      <c r="AR4" s="81">
        <f>AR5</f>
        <v>45572</v>
      </c>
      <c r="AS4" s="81"/>
      <c r="AT4" s="81"/>
      <c r="AU4" s="81"/>
      <c r="AV4" s="81"/>
      <c r="AW4" s="81"/>
      <c r="AX4" s="81"/>
      <c r="AY4" s="81">
        <f>AY5</f>
        <v>45579</v>
      </c>
      <c r="AZ4" s="81"/>
      <c r="BA4" s="81"/>
      <c r="BB4" s="81"/>
      <c r="BC4" s="81"/>
      <c r="BD4" s="81"/>
      <c r="BE4" s="81"/>
      <c r="BF4" s="81">
        <f>BF5</f>
        <v>45586</v>
      </c>
      <c r="BG4" s="81"/>
      <c r="BH4" s="81"/>
      <c r="BI4" s="81"/>
      <c r="BJ4" s="81"/>
      <c r="BK4" s="81"/>
      <c r="BL4" s="82"/>
      <c r="BM4" s="81">
        <f>BM5</f>
        <v>45593</v>
      </c>
      <c r="BN4" s="81"/>
      <c r="BO4" s="81"/>
      <c r="BP4" s="81"/>
      <c r="BQ4" s="81"/>
      <c r="BR4" s="81"/>
      <c r="BS4" s="82"/>
      <c r="BT4" s="81">
        <f>BT5</f>
        <v>45600</v>
      </c>
      <c r="BU4" s="81"/>
      <c r="BV4" s="81"/>
      <c r="BW4" s="81"/>
      <c r="BX4" s="81"/>
      <c r="BY4" s="81"/>
      <c r="BZ4" s="82"/>
      <c r="CA4" s="81">
        <f>CA5</f>
        <v>45607</v>
      </c>
      <c r="CB4" s="81"/>
      <c r="CC4" s="81"/>
      <c r="CD4" s="81"/>
      <c r="CE4" s="81"/>
      <c r="CF4" s="81"/>
      <c r="CG4" s="82"/>
      <c r="CH4" s="81">
        <f>CH5</f>
        <v>45614</v>
      </c>
      <c r="CI4" s="81"/>
      <c r="CJ4" s="81"/>
      <c r="CK4" s="81"/>
      <c r="CL4" s="81"/>
      <c r="CM4" s="81"/>
      <c r="CN4" s="82"/>
      <c r="CO4" s="81">
        <f>CO5</f>
        <v>45621</v>
      </c>
      <c r="CP4" s="81"/>
      <c r="CQ4" s="81"/>
      <c r="CR4" s="81"/>
      <c r="CS4" s="81"/>
      <c r="CT4" s="81"/>
      <c r="CU4" s="82"/>
      <c r="CV4" s="81">
        <f>CV5</f>
        <v>45628</v>
      </c>
      <c r="CW4" s="81"/>
      <c r="CX4" s="81"/>
      <c r="CY4" s="81"/>
      <c r="CZ4" s="81"/>
      <c r="DA4" s="81"/>
      <c r="DB4" s="82"/>
      <c r="DC4" s="81">
        <f>DC5</f>
        <v>45635</v>
      </c>
      <c r="DD4" s="81"/>
      <c r="DE4" s="81"/>
      <c r="DF4" s="81"/>
      <c r="DG4" s="81"/>
      <c r="DH4" s="81"/>
      <c r="DI4" s="82"/>
      <c r="DJ4" s="81">
        <f>DJ5</f>
        <v>45642</v>
      </c>
      <c r="DK4" s="81"/>
      <c r="DL4" s="81"/>
      <c r="DM4" s="81"/>
      <c r="DN4" s="81"/>
      <c r="DO4" s="81"/>
      <c r="DP4" s="82"/>
      <c r="DQ4" s="81">
        <f>DQ5</f>
        <v>45649</v>
      </c>
      <c r="DR4" s="81"/>
      <c r="DS4" s="81"/>
      <c r="DT4" s="81"/>
      <c r="DU4" s="81"/>
      <c r="DV4" s="81"/>
      <c r="DW4" s="82"/>
      <c r="DX4" s="81">
        <f>DX5</f>
        <v>45656</v>
      </c>
      <c r="DY4" s="81"/>
      <c r="DZ4" s="81"/>
      <c r="EA4" s="81"/>
      <c r="EB4" s="81"/>
      <c r="EC4" s="81"/>
      <c r="ED4" s="82"/>
    </row>
    <row r="5" spans="1:148" s="19" customFormat="1" ht="15" customHeight="1" x14ac:dyDescent="0.25">
      <c r="A5" s="91"/>
      <c r="B5" s="92" t="s">
        <v>3</v>
      </c>
      <c r="C5" s="94" t="s">
        <v>7</v>
      </c>
      <c r="D5" s="84" t="s">
        <v>0</v>
      </c>
      <c r="E5" s="84" t="s">
        <v>1</v>
      </c>
      <c r="F5" s="84" t="s">
        <v>2</v>
      </c>
      <c r="I5" s="23">
        <f>Project_Start-WEEKDAY(Project_Start,1)+2+7*(Display_Week-1)</f>
        <v>45537</v>
      </c>
      <c r="J5" s="23">
        <f>I5+1</f>
        <v>45538</v>
      </c>
      <c r="K5" s="23">
        <f t="shared" ref="K5:AX5" si="0">J5+1</f>
        <v>45539</v>
      </c>
      <c r="L5" s="23">
        <f t="shared" si="0"/>
        <v>45540</v>
      </c>
      <c r="M5" s="23">
        <f t="shared" si="0"/>
        <v>45541</v>
      </c>
      <c r="N5" s="23">
        <f t="shared" si="0"/>
        <v>45542</v>
      </c>
      <c r="O5" s="24">
        <f t="shared" si="0"/>
        <v>45543</v>
      </c>
      <c r="P5" s="25">
        <f>O5+1</f>
        <v>45544</v>
      </c>
      <c r="Q5" s="23">
        <f>P5+1</f>
        <v>45545</v>
      </c>
      <c r="R5" s="23">
        <f t="shared" si="0"/>
        <v>45546</v>
      </c>
      <c r="S5" s="23">
        <f t="shared" si="0"/>
        <v>45547</v>
      </c>
      <c r="T5" s="23">
        <f t="shared" si="0"/>
        <v>45548</v>
      </c>
      <c r="U5" s="23">
        <f t="shared" si="0"/>
        <v>45549</v>
      </c>
      <c r="V5" s="24">
        <f t="shared" si="0"/>
        <v>45550</v>
      </c>
      <c r="W5" s="25">
        <f>V5+1</f>
        <v>45551</v>
      </c>
      <c r="X5" s="23">
        <f>W5+1</f>
        <v>45552</v>
      </c>
      <c r="Y5" s="23">
        <f t="shared" si="0"/>
        <v>45553</v>
      </c>
      <c r="Z5" s="23">
        <f t="shared" si="0"/>
        <v>45554</v>
      </c>
      <c r="AA5" s="23">
        <f t="shared" si="0"/>
        <v>45555</v>
      </c>
      <c r="AB5" s="23">
        <f t="shared" si="0"/>
        <v>45556</v>
      </c>
      <c r="AC5" s="24">
        <f t="shared" si="0"/>
        <v>45557</v>
      </c>
      <c r="AD5" s="25">
        <f>AC5+1</f>
        <v>45558</v>
      </c>
      <c r="AE5" s="23">
        <f>AD5+1</f>
        <v>45559</v>
      </c>
      <c r="AF5" s="23">
        <f t="shared" si="0"/>
        <v>45560</v>
      </c>
      <c r="AG5" s="23">
        <f t="shared" si="0"/>
        <v>45561</v>
      </c>
      <c r="AH5" s="23">
        <f t="shared" si="0"/>
        <v>45562</v>
      </c>
      <c r="AI5" s="23">
        <f t="shared" si="0"/>
        <v>45563</v>
      </c>
      <c r="AJ5" s="24">
        <f t="shared" si="0"/>
        <v>45564</v>
      </c>
      <c r="AK5" s="25">
        <f>AJ5+1</f>
        <v>45565</v>
      </c>
      <c r="AL5" s="23">
        <f>AK5+1</f>
        <v>45566</v>
      </c>
      <c r="AM5" s="23">
        <f t="shared" si="0"/>
        <v>45567</v>
      </c>
      <c r="AN5" s="23">
        <f t="shared" si="0"/>
        <v>45568</v>
      </c>
      <c r="AO5" s="23">
        <f t="shared" si="0"/>
        <v>45569</v>
      </c>
      <c r="AP5" s="23">
        <f t="shared" si="0"/>
        <v>45570</v>
      </c>
      <c r="AQ5" s="24">
        <f t="shared" si="0"/>
        <v>45571</v>
      </c>
      <c r="AR5" s="25">
        <f>AQ5+1</f>
        <v>45572</v>
      </c>
      <c r="AS5" s="23">
        <f>AR5+1</f>
        <v>45573</v>
      </c>
      <c r="AT5" s="23">
        <f t="shared" si="0"/>
        <v>45574</v>
      </c>
      <c r="AU5" s="23">
        <f t="shared" si="0"/>
        <v>45575</v>
      </c>
      <c r="AV5" s="23">
        <f t="shared" si="0"/>
        <v>45576</v>
      </c>
      <c r="AW5" s="23">
        <f t="shared" si="0"/>
        <v>45577</v>
      </c>
      <c r="AX5" s="24">
        <f t="shared" si="0"/>
        <v>45578</v>
      </c>
      <c r="AY5" s="25">
        <f>AX5+1</f>
        <v>45579</v>
      </c>
      <c r="AZ5" s="23">
        <f>AY5+1</f>
        <v>45580</v>
      </c>
      <c r="BA5" s="23">
        <f t="shared" ref="BA5:BE5" si="1">AZ5+1</f>
        <v>45581</v>
      </c>
      <c r="BB5" s="23">
        <f t="shared" si="1"/>
        <v>45582</v>
      </c>
      <c r="BC5" s="23">
        <f t="shared" si="1"/>
        <v>45583</v>
      </c>
      <c r="BD5" s="23">
        <f t="shared" si="1"/>
        <v>45584</v>
      </c>
      <c r="BE5" s="24">
        <f t="shared" si="1"/>
        <v>45585</v>
      </c>
      <c r="BF5" s="25">
        <f>BE5+1</f>
        <v>45586</v>
      </c>
      <c r="BG5" s="23">
        <f>BF5+1</f>
        <v>45587</v>
      </c>
      <c r="BH5" s="23">
        <f t="shared" ref="BH5:BL5" si="2">BG5+1</f>
        <v>45588</v>
      </c>
      <c r="BI5" s="23">
        <f t="shared" si="2"/>
        <v>45589</v>
      </c>
      <c r="BJ5" s="23">
        <f t="shared" si="2"/>
        <v>45590</v>
      </c>
      <c r="BK5" s="23">
        <f t="shared" si="2"/>
        <v>45591</v>
      </c>
      <c r="BL5" s="23">
        <f t="shared" si="2"/>
        <v>45592</v>
      </c>
      <c r="BM5" s="25">
        <f>BL5+1</f>
        <v>45593</v>
      </c>
      <c r="BN5" s="23">
        <f>BM5+1</f>
        <v>45594</v>
      </c>
      <c r="BO5" s="23">
        <f t="shared" ref="BO5" si="3">BN5+1</f>
        <v>45595</v>
      </c>
      <c r="BP5" s="23">
        <f t="shared" ref="BP5" si="4">BO5+1</f>
        <v>45596</v>
      </c>
      <c r="BQ5" s="23">
        <f t="shared" ref="BQ5" si="5">BP5+1</f>
        <v>45597</v>
      </c>
      <c r="BR5" s="23">
        <f t="shared" ref="BR5" si="6">BQ5+1</f>
        <v>45598</v>
      </c>
      <c r="BS5" s="23">
        <f t="shared" ref="BS5" si="7">BR5+1</f>
        <v>45599</v>
      </c>
      <c r="BT5" s="25">
        <f>BS5+1</f>
        <v>45600</v>
      </c>
      <c r="BU5" s="23">
        <f>BT5+1</f>
        <v>45601</v>
      </c>
      <c r="BV5" s="23">
        <f t="shared" ref="BV5" si="8">BU5+1</f>
        <v>45602</v>
      </c>
      <c r="BW5" s="23">
        <f t="shared" ref="BW5" si="9">BV5+1</f>
        <v>45603</v>
      </c>
      <c r="BX5" s="23">
        <f t="shared" ref="BX5" si="10">BW5+1</f>
        <v>45604</v>
      </c>
      <c r="BY5" s="23">
        <f t="shared" ref="BY5" si="11">BX5+1</f>
        <v>45605</v>
      </c>
      <c r="BZ5" s="23">
        <f t="shared" ref="BZ5" si="12">BY5+1</f>
        <v>45606</v>
      </c>
      <c r="CA5" s="25">
        <f>BZ5+1</f>
        <v>45607</v>
      </c>
      <c r="CB5" s="23">
        <f>CA5+1</f>
        <v>45608</v>
      </c>
      <c r="CC5" s="23">
        <f t="shared" ref="CC5" si="13">CB5+1</f>
        <v>45609</v>
      </c>
      <c r="CD5" s="23">
        <f t="shared" ref="CD5" si="14">CC5+1</f>
        <v>45610</v>
      </c>
      <c r="CE5" s="23">
        <f t="shared" ref="CE5" si="15">CD5+1</f>
        <v>45611</v>
      </c>
      <c r="CF5" s="23">
        <f t="shared" ref="CF5" si="16">CE5+1</f>
        <v>45612</v>
      </c>
      <c r="CG5" s="23">
        <f t="shared" ref="CG5" si="17">CF5+1</f>
        <v>45613</v>
      </c>
      <c r="CH5" s="25">
        <f>CG5+1</f>
        <v>45614</v>
      </c>
      <c r="CI5" s="23">
        <f>CH5+1</f>
        <v>45615</v>
      </c>
      <c r="CJ5" s="23">
        <f t="shared" ref="CJ5" si="18">CI5+1</f>
        <v>45616</v>
      </c>
      <c r="CK5" s="23">
        <f t="shared" ref="CK5" si="19">CJ5+1</f>
        <v>45617</v>
      </c>
      <c r="CL5" s="23">
        <f t="shared" ref="CL5" si="20">CK5+1</f>
        <v>45618</v>
      </c>
      <c r="CM5" s="23">
        <f t="shared" ref="CM5" si="21">CL5+1</f>
        <v>45619</v>
      </c>
      <c r="CN5" s="23">
        <f t="shared" ref="CN5" si="22">CM5+1</f>
        <v>45620</v>
      </c>
      <c r="CO5" s="25">
        <f>CN5+1</f>
        <v>45621</v>
      </c>
      <c r="CP5" s="23">
        <f>CO5+1</f>
        <v>45622</v>
      </c>
      <c r="CQ5" s="23">
        <f t="shared" ref="CQ5" si="23">CP5+1</f>
        <v>45623</v>
      </c>
      <c r="CR5" s="23">
        <f t="shared" ref="CR5" si="24">CQ5+1</f>
        <v>45624</v>
      </c>
      <c r="CS5" s="23">
        <f t="shared" ref="CS5" si="25">CR5+1</f>
        <v>45625</v>
      </c>
      <c r="CT5" s="23">
        <f t="shared" ref="CT5" si="26">CS5+1</f>
        <v>45626</v>
      </c>
      <c r="CU5" s="23">
        <f t="shared" ref="CU5" si="27">CT5+1</f>
        <v>45627</v>
      </c>
      <c r="CV5" s="25">
        <f>CU5+1</f>
        <v>45628</v>
      </c>
      <c r="CW5" s="23">
        <f>CV5+1</f>
        <v>45629</v>
      </c>
      <c r="CX5" s="23">
        <f t="shared" ref="CX5" si="28">CW5+1</f>
        <v>45630</v>
      </c>
      <c r="CY5" s="23">
        <f t="shared" ref="CY5" si="29">CX5+1</f>
        <v>45631</v>
      </c>
      <c r="CZ5" s="23">
        <f t="shared" ref="CZ5" si="30">CY5+1</f>
        <v>45632</v>
      </c>
      <c r="DA5" s="23">
        <f t="shared" ref="DA5" si="31">CZ5+1</f>
        <v>45633</v>
      </c>
      <c r="DB5" s="23">
        <f t="shared" ref="DB5" si="32">DA5+1</f>
        <v>45634</v>
      </c>
      <c r="DC5" s="25">
        <f>DB5+1</f>
        <v>45635</v>
      </c>
      <c r="DD5" s="23">
        <f>DC5+1</f>
        <v>45636</v>
      </c>
      <c r="DE5" s="23">
        <f t="shared" ref="DE5" si="33">DD5+1</f>
        <v>45637</v>
      </c>
      <c r="DF5" s="23">
        <f t="shared" ref="DF5" si="34">DE5+1</f>
        <v>45638</v>
      </c>
      <c r="DG5" s="23">
        <f t="shared" ref="DG5" si="35">DF5+1</f>
        <v>45639</v>
      </c>
      <c r="DH5" s="23">
        <f t="shared" ref="DH5" si="36">DG5+1</f>
        <v>45640</v>
      </c>
      <c r="DI5" s="23">
        <f t="shared" ref="DI5" si="37">DH5+1</f>
        <v>45641</v>
      </c>
      <c r="DJ5" s="25">
        <f>DI5+1</f>
        <v>45642</v>
      </c>
      <c r="DK5" s="23">
        <f>DJ5+1</f>
        <v>45643</v>
      </c>
      <c r="DL5" s="23">
        <f t="shared" ref="DL5" si="38">DK5+1</f>
        <v>45644</v>
      </c>
      <c r="DM5" s="23">
        <f t="shared" ref="DM5" si="39">DL5+1</f>
        <v>45645</v>
      </c>
      <c r="DN5" s="23">
        <f t="shared" ref="DN5" si="40">DM5+1</f>
        <v>45646</v>
      </c>
      <c r="DO5" s="23">
        <f t="shared" ref="DO5" si="41">DN5+1</f>
        <v>45647</v>
      </c>
      <c r="DP5" s="23">
        <f t="shared" ref="DP5" si="42">DO5+1</f>
        <v>45648</v>
      </c>
      <c r="DQ5" s="25">
        <f>DP5+1</f>
        <v>45649</v>
      </c>
      <c r="DR5" s="23">
        <f>DQ5+1</f>
        <v>45650</v>
      </c>
      <c r="DS5" s="23">
        <f t="shared" ref="DS5" si="43">DR5+1</f>
        <v>45651</v>
      </c>
      <c r="DT5" s="23">
        <f t="shared" ref="DT5" si="44">DS5+1</f>
        <v>45652</v>
      </c>
      <c r="DU5" s="23">
        <f t="shared" ref="DU5" si="45">DT5+1</f>
        <v>45653</v>
      </c>
      <c r="DV5" s="23">
        <f t="shared" ref="DV5" si="46">DU5+1</f>
        <v>45654</v>
      </c>
      <c r="DW5" s="23">
        <f t="shared" ref="DW5" si="47">DV5+1</f>
        <v>45655</v>
      </c>
      <c r="DX5" s="25">
        <f>DW5+1</f>
        <v>45656</v>
      </c>
      <c r="DY5" s="23">
        <f>DX5+1</f>
        <v>45657</v>
      </c>
      <c r="DZ5" s="23">
        <f t="shared" ref="DZ5" si="48">DY5+1</f>
        <v>45658</v>
      </c>
      <c r="EA5" s="23">
        <f t="shared" ref="EA5" si="49">DZ5+1</f>
        <v>45659</v>
      </c>
      <c r="EB5" s="23">
        <f t="shared" ref="EB5" si="50">EA5+1</f>
        <v>45660</v>
      </c>
      <c r="EC5" s="23">
        <f t="shared" ref="EC5" si="51">EB5+1</f>
        <v>45661</v>
      </c>
      <c r="ED5" s="23">
        <f t="shared" ref="ED5" si="52">EC5+1</f>
        <v>45662</v>
      </c>
    </row>
    <row r="6" spans="1:148" s="19" customFormat="1" ht="15" customHeight="1" thickBot="1" x14ac:dyDescent="0.3">
      <c r="A6" s="91"/>
      <c r="B6" s="93"/>
      <c r="C6" s="85"/>
      <c r="D6" s="85"/>
      <c r="E6" s="85"/>
      <c r="F6" s="85"/>
      <c r="I6" s="26" t="str">
        <f t="shared" ref="I6:AN6" si="53">LEFT(TEXT(I5,"ddd"),1)</f>
        <v>M</v>
      </c>
      <c r="J6" s="27" t="str">
        <f t="shared" si="53"/>
        <v>T</v>
      </c>
      <c r="K6" s="27" t="str">
        <f t="shared" si="53"/>
        <v>W</v>
      </c>
      <c r="L6" s="27" t="str">
        <f t="shared" si="53"/>
        <v>T</v>
      </c>
      <c r="M6" s="27" t="str">
        <f t="shared" si="53"/>
        <v>F</v>
      </c>
      <c r="N6" s="27" t="str">
        <f t="shared" si="53"/>
        <v>S</v>
      </c>
      <c r="O6" s="27" t="str">
        <f t="shared" si="53"/>
        <v>S</v>
      </c>
      <c r="P6" s="27" t="str">
        <f t="shared" si="53"/>
        <v>M</v>
      </c>
      <c r="Q6" s="27" t="str">
        <f t="shared" si="53"/>
        <v>T</v>
      </c>
      <c r="R6" s="27" t="str">
        <f t="shared" si="53"/>
        <v>W</v>
      </c>
      <c r="S6" s="27" t="str">
        <f t="shared" si="53"/>
        <v>T</v>
      </c>
      <c r="T6" s="27" t="str">
        <f t="shared" si="53"/>
        <v>F</v>
      </c>
      <c r="U6" s="27" t="str">
        <f t="shared" si="53"/>
        <v>S</v>
      </c>
      <c r="V6" s="27" t="str">
        <f t="shared" si="53"/>
        <v>S</v>
      </c>
      <c r="W6" s="27" t="str">
        <f t="shared" si="53"/>
        <v>M</v>
      </c>
      <c r="X6" s="27" t="str">
        <f t="shared" si="53"/>
        <v>T</v>
      </c>
      <c r="Y6" s="27" t="str">
        <f t="shared" si="53"/>
        <v>W</v>
      </c>
      <c r="Z6" s="27" t="str">
        <f t="shared" si="53"/>
        <v>T</v>
      </c>
      <c r="AA6" s="27" t="str">
        <f t="shared" si="53"/>
        <v>F</v>
      </c>
      <c r="AB6" s="27" t="str">
        <f t="shared" si="53"/>
        <v>S</v>
      </c>
      <c r="AC6" s="27" t="str">
        <f t="shared" si="53"/>
        <v>S</v>
      </c>
      <c r="AD6" s="27" t="str">
        <f t="shared" si="53"/>
        <v>M</v>
      </c>
      <c r="AE6" s="27" t="str">
        <f t="shared" si="53"/>
        <v>T</v>
      </c>
      <c r="AF6" s="27" t="str">
        <f t="shared" si="53"/>
        <v>W</v>
      </c>
      <c r="AG6" s="27" t="str">
        <f t="shared" si="53"/>
        <v>T</v>
      </c>
      <c r="AH6" s="27" t="str">
        <f t="shared" si="53"/>
        <v>F</v>
      </c>
      <c r="AI6" s="27" t="str">
        <f t="shared" si="53"/>
        <v>S</v>
      </c>
      <c r="AJ6" s="27" t="str">
        <f t="shared" si="53"/>
        <v>S</v>
      </c>
      <c r="AK6" s="27" t="str">
        <f t="shared" si="53"/>
        <v>M</v>
      </c>
      <c r="AL6" s="27" t="str">
        <f t="shared" si="53"/>
        <v>T</v>
      </c>
      <c r="AM6" s="27" t="str">
        <f t="shared" si="53"/>
        <v>W</v>
      </c>
      <c r="AN6" s="27" t="str">
        <f t="shared" si="53"/>
        <v>T</v>
      </c>
      <c r="AO6" s="27" t="str">
        <f t="shared" ref="AO6:BL6" si="54">LEFT(TEXT(AO5,"ddd"),1)</f>
        <v>F</v>
      </c>
      <c r="AP6" s="27" t="str">
        <f t="shared" si="54"/>
        <v>S</v>
      </c>
      <c r="AQ6" s="27" t="str">
        <f t="shared" si="54"/>
        <v>S</v>
      </c>
      <c r="AR6" s="27" t="str">
        <f t="shared" si="54"/>
        <v>M</v>
      </c>
      <c r="AS6" s="27" t="str">
        <f t="shared" si="54"/>
        <v>T</v>
      </c>
      <c r="AT6" s="27" t="str">
        <f t="shared" si="54"/>
        <v>W</v>
      </c>
      <c r="AU6" s="27" t="str">
        <f t="shared" si="54"/>
        <v>T</v>
      </c>
      <c r="AV6" s="27" t="str">
        <f t="shared" si="54"/>
        <v>F</v>
      </c>
      <c r="AW6" s="27" t="str">
        <f t="shared" si="54"/>
        <v>S</v>
      </c>
      <c r="AX6" s="27" t="str">
        <f t="shared" si="54"/>
        <v>S</v>
      </c>
      <c r="AY6" s="27" t="str">
        <f t="shared" si="54"/>
        <v>M</v>
      </c>
      <c r="AZ6" s="27" t="str">
        <f t="shared" si="54"/>
        <v>T</v>
      </c>
      <c r="BA6" s="27" t="str">
        <f t="shared" si="54"/>
        <v>W</v>
      </c>
      <c r="BB6" s="27" t="str">
        <f t="shared" si="54"/>
        <v>T</v>
      </c>
      <c r="BC6" s="27" t="str">
        <f t="shared" si="54"/>
        <v>F</v>
      </c>
      <c r="BD6" s="27" t="str">
        <f t="shared" si="54"/>
        <v>S</v>
      </c>
      <c r="BE6" s="27" t="str">
        <f t="shared" si="54"/>
        <v>S</v>
      </c>
      <c r="BF6" s="27" t="str">
        <f t="shared" si="54"/>
        <v>M</v>
      </c>
      <c r="BG6" s="27" t="str">
        <f t="shared" si="54"/>
        <v>T</v>
      </c>
      <c r="BH6" s="27" t="str">
        <f t="shared" si="54"/>
        <v>W</v>
      </c>
      <c r="BI6" s="27" t="str">
        <f t="shared" si="54"/>
        <v>T</v>
      </c>
      <c r="BJ6" s="27" t="str">
        <f t="shared" si="54"/>
        <v>F</v>
      </c>
      <c r="BK6" s="27" t="str">
        <f t="shared" si="54"/>
        <v>S</v>
      </c>
      <c r="BL6" s="28" t="str">
        <f t="shared" si="54"/>
        <v>S</v>
      </c>
      <c r="BM6" s="27" t="str">
        <f t="shared" ref="BM6:DP6" si="55">LEFT(TEXT(BM5,"ddd"),1)</f>
        <v>M</v>
      </c>
      <c r="BN6" s="27" t="str">
        <f t="shared" si="55"/>
        <v>T</v>
      </c>
      <c r="BO6" s="27" t="str">
        <f t="shared" si="55"/>
        <v>W</v>
      </c>
      <c r="BP6" s="27" t="str">
        <f t="shared" si="55"/>
        <v>T</v>
      </c>
      <c r="BQ6" s="27" t="str">
        <f t="shared" si="55"/>
        <v>F</v>
      </c>
      <c r="BR6" s="27" t="str">
        <f t="shared" si="55"/>
        <v>S</v>
      </c>
      <c r="BS6" s="28" t="str">
        <f t="shared" si="55"/>
        <v>S</v>
      </c>
      <c r="BT6" s="27" t="str">
        <f t="shared" si="55"/>
        <v>M</v>
      </c>
      <c r="BU6" s="27" t="str">
        <f t="shared" si="55"/>
        <v>T</v>
      </c>
      <c r="BV6" s="27" t="str">
        <f t="shared" si="55"/>
        <v>W</v>
      </c>
      <c r="BW6" s="27" t="str">
        <f t="shared" si="55"/>
        <v>T</v>
      </c>
      <c r="BX6" s="27" t="str">
        <f t="shared" si="55"/>
        <v>F</v>
      </c>
      <c r="BY6" s="27" t="str">
        <f t="shared" si="55"/>
        <v>S</v>
      </c>
      <c r="BZ6" s="28" t="str">
        <f t="shared" si="55"/>
        <v>S</v>
      </c>
      <c r="CA6" s="27" t="str">
        <f t="shared" si="55"/>
        <v>M</v>
      </c>
      <c r="CB6" s="27" t="str">
        <f t="shared" si="55"/>
        <v>T</v>
      </c>
      <c r="CC6" s="27" t="str">
        <f t="shared" si="55"/>
        <v>W</v>
      </c>
      <c r="CD6" s="27" t="str">
        <f t="shared" si="55"/>
        <v>T</v>
      </c>
      <c r="CE6" s="27" t="str">
        <f t="shared" si="55"/>
        <v>F</v>
      </c>
      <c r="CF6" s="27" t="str">
        <f t="shared" si="55"/>
        <v>S</v>
      </c>
      <c r="CG6" s="28" t="str">
        <f t="shared" si="55"/>
        <v>S</v>
      </c>
      <c r="CH6" s="27" t="str">
        <f t="shared" si="55"/>
        <v>M</v>
      </c>
      <c r="CI6" s="27" t="str">
        <f t="shared" si="55"/>
        <v>T</v>
      </c>
      <c r="CJ6" s="27" t="str">
        <f t="shared" si="55"/>
        <v>W</v>
      </c>
      <c r="CK6" s="27" t="str">
        <f t="shared" si="55"/>
        <v>T</v>
      </c>
      <c r="CL6" s="27" t="str">
        <f t="shared" si="55"/>
        <v>F</v>
      </c>
      <c r="CM6" s="27" t="str">
        <f t="shared" si="55"/>
        <v>S</v>
      </c>
      <c r="CN6" s="28" t="str">
        <f t="shared" si="55"/>
        <v>S</v>
      </c>
      <c r="CO6" s="27" t="str">
        <f t="shared" si="55"/>
        <v>M</v>
      </c>
      <c r="CP6" s="27" t="str">
        <f t="shared" si="55"/>
        <v>T</v>
      </c>
      <c r="CQ6" s="27" t="str">
        <f t="shared" si="55"/>
        <v>W</v>
      </c>
      <c r="CR6" s="27" t="str">
        <f t="shared" si="55"/>
        <v>T</v>
      </c>
      <c r="CS6" s="27" t="str">
        <f t="shared" si="55"/>
        <v>F</v>
      </c>
      <c r="CT6" s="27" t="str">
        <f t="shared" si="55"/>
        <v>S</v>
      </c>
      <c r="CU6" s="28" t="str">
        <f t="shared" si="55"/>
        <v>S</v>
      </c>
      <c r="CV6" s="27" t="str">
        <f t="shared" si="55"/>
        <v>M</v>
      </c>
      <c r="CW6" s="27" t="str">
        <f t="shared" si="55"/>
        <v>T</v>
      </c>
      <c r="CX6" s="27" t="str">
        <f t="shared" si="55"/>
        <v>W</v>
      </c>
      <c r="CY6" s="27" t="str">
        <f t="shared" si="55"/>
        <v>T</v>
      </c>
      <c r="CZ6" s="27" t="str">
        <f t="shared" si="55"/>
        <v>F</v>
      </c>
      <c r="DA6" s="27" t="str">
        <f t="shared" si="55"/>
        <v>S</v>
      </c>
      <c r="DB6" s="28" t="str">
        <f t="shared" si="55"/>
        <v>S</v>
      </c>
      <c r="DC6" s="27" t="str">
        <f t="shared" si="55"/>
        <v>M</v>
      </c>
      <c r="DD6" s="27" t="str">
        <f t="shared" si="55"/>
        <v>T</v>
      </c>
      <c r="DE6" s="27" t="str">
        <f t="shared" si="55"/>
        <v>W</v>
      </c>
      <c r="DF6" s="27" t="str">
        <f t="shared" si="55"/>
        <v>T</v>
      </c>
      <c r="DG6" s="27" t="str">
        <f t="shared" si="55"/>
        <v>F</v>
      </c>
      <c r="DH6" s="27" t="str">
        <f t="shared" si="55"/>
        <v>S</v>
      </c>
      <c r="DI6" s="28" t="str">
        <f t="shared" si="55"/>
        <v>S</v>
      </c>
      <c r="DJ6" s="27" t="str">
        <f t="shared" si="55"/>
        <v>M</v>
      </c>
      <c r="DK6" s="27" t="str">
        <f t="shared" si="55"/>
        <v>T</v>
      </c>
      <c r="DL6" s="27" t="str">
        <f t="shared" si="55"/>
        <v>W</v>
      </c>
      <c r="DM6" s="27" t="str">
        <f t="shared" si="55"/>
        <v>T</v>
      </c>
      <c r="DN6" s="27" t="str">
        <f t="shared" si="55"/>
        <v>F</v>
      </c>
      <c r="DO6" s="27" t="str">
        <f t="shared" si="55"/>
        <v>S</v>
      </c>
      <c r="DP6" s="28" t="str">
        <f t="shared" si="55"/>
        <v>S</v>
      </c>
      <c r="DQ6" s="27" t="str">
        <f t="shared" ref="DQ6:ED6" si="56">LEFT(TEXT(DQ5,"ddd"),1)</f>
        <v>M</v>
      </c>
      <c r="DR6" s="27" t="str">
        <f t="shared" si="56"/>
        <v>T</v>
      </c>
      <c r="DS6" s="27" t="str">
        <f t="shared" si="56"/>
        <v>W</v>
      </c>
      <c r="DT6" s="27" t="str">
        <f t="shared" si="56"/>
        <v>T</v>
      </c>
      <c r="DU6" s="27" t="str">
        <f t="shared" si="56"/>
        <v>F</v>
      </c>
      <c r="DV6" s="27" t="str">
        <f t="shared" si="56"/>
        <v>S</v>
      </c>
      <c r="DW6" s="28" t="str">
        <f t="shared" si="56"/>
        <v>S</v>
      </c>
      <c r="DX6" s="27" t="str">
        <f t="shared" si="56"/>
        <v>M</v>
      </c>
      <c r="DY6" s="27" t="str">
        <f t="shared" si="56"/>
        <v>T</v>
      </c>
      <c r="DZ6" s="27" t="str">
        <f t="shared" si="56"/>
        <v>W</v>
      </c>
      <c r="EA6" s="27" t="str">
        <f t="shared" si="56"/>
        <v>T</v>
      </c>
      <c r="EB6" s="27" t="str">
        <f t="shared" si="56"/>
        <v>F</v>
      </c>
      <c r="EC6" s="27" t="str">
        <f t="shared" si="56"/>
        <v>S</v>
      </c>
      <c r="ED6" s="28" t="str">
        <f t="shared" si="56"/>
        <v>S</v>
      </c>
    </row>
    <row r="7" spans="1:148" s="19" customFormat="1" ht="30" hidden="1" customHeight="1" thickBot="1" x14ac:dyDescent="0.3">
      <c r="A7" s="7" t="s">
        <v>4</v>
      </c>
      <c r="B7" s="29"/>
      <c r="C7" s="30"/>
      <c r="D7" s="29"/>
      <c r="E7" s="29"/>
      <c r="F7" s="29"/>
      <c r="H7" s="19"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148" s="38" customFormat="1" ht="30" customHeight="1" thickBot="1" x14ac:dyDescent="0.3">
      <c r="A8" s="8"/>
      <c r="B8" s="32" t="s">
        <v>12</v>
      </c>
      <c r="C8" s="33"/>
      <c r="D8" s="34"/>
      <c r="E8" s="35"/>
      <c r="F8" s="36"/>
      <c r="G8" s="11"/>
      <c r="H8" s="5" t="str">
        <f t="shared" ref="H8:H29" si="57">IF(OR(ISBLANK(task_start),ISBLANK(task_end)),"",task_end-task_start+1)</f>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148" s="38" customFormat="1" ht="30" customHeight="1" thickBot="1" x14ac:dyDescent="0.3">
      <c r="A9" s="8"/>
      <c r="B9" s="39" t="s">
        <v>9</v>
      </c>
      <c r="C9" s="40" t="s">
        <v>27</v>
      </c>
      <c r="D9" s="41">
        <v>1</v>
      </c>
      <c r="E9" s="76">
        <f>Project_Start</f>
        <v>45537</v>
      </c>
      <c r="F9" s="76">
        <f>E9+13</f>
        <v>45550</v>
      </c>
      <c r="G9" s="11"/>
      <c r="H9" s="5">
        <f t="shared" si="57"/>
        <v>14</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R9" s="42"/>
    </row>
    <row r="10" spans="1:148" s="38" customFormat="1" ht="30" customHeight="1" thickBot="1" x14ac:dyDescent="0.3">
      <c r="A10" s="8"/>
      <c r="B10" s="43" t="s">
        <v>10</v>
      </c>
      <c r="C10" s="40" t="s">
        <v>27</v>
      </c>
      <c r="D10" s="44">
        <v>1</v>
      </c>
      <c r="E10" s="77">
        <v>45551</v>
      </c>
      <c r="F10" s="77">
        <v>45618</v>
      </c>
      <c r="G10" s="11"/>
      <c r="H10" s="5">
        <f t="shared" si="57"/>
        <v>68</v>
      </c>
      <c r="I10" s="42"/>
      <c r="J10" s="42"/>
      <c r="K10" s="42"/>
      <c r="L10" s="42"/>
      <c r="M10" s="42"/>
      <c r="N10" s="42"/>
      <c r="O10" s="42"/>
      <c r="P10" s="42"/>
      <c r="Q10" s="42"/>
      <c r="R10" s="42"/>
      <c r="S10" s="42"/>
      <c r="T10" s="42"/>
      <c r="U10" s="45"/>
      <c r="V10" s="45"/>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row>
    <row r="11" spans="1:148" s="38" customFormat="1" ht="30" customHeight="1" thickBot="1" x14ac:dyDescent="0.3">
      <c r="A11" s="7"/>
      <c r="B11" s="43" t="s">
        <v>11</v>
      </c>
      <c r="C11" s="40" t="s">
        <v>27</v>
      </c>
      <c r="D11" s="44">
        <v>1</v>
      </c>
      <c r="E11" s="77">
        <v>45563</v>
      </c>
      <c r="F11" s="77">
        <v>45576</v>
      </c>
      <c r="G11" s="11"/>
      <c r="H11" s="5">
        <f t="shared" si="57"/>
        <v>14</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row>
    <row r="12" spans="1:148" s="38" customFormat="1" ht="30" customHeight="1" thickBot="1" x14ac:dyDescent="0.3">
      <c r="A12" s="7"/>
      <c r="B12" s="43" t="s">
        <v>16</v>
      </c>
      <c r="C12" s="40" t="s">
        <v>27</v>
      </c>
      <c r="D12" s="44">
        <v>1</v>
      </c>
      <c r="E12" s="77">
        <v>45586</v>
      </c>
      <c r="F12" s="77">
        <v>45612</v>
      </c>
      <c r="G12" s="11"/>
      <c r="H12" s="5">
        <f t="shared" si="57"/>
        <v>27</v>
      </c>
      <c r="I12" s="42"/>
      <c r="J12" s="42"/>
      <c r="K12" s="42"/>
      <c r="L12" s="42"/>
      <c r="M12" s="42"/>
      <c r="N12" s="42"/>
      <c r="O12" s="42"/>
      <c r="P12" s="42"/>
      <c r="Q12" s="42"/>
      <c r="R12" s="42"/>
      <c r="S12" s="42"/>
      <c r="T12" s="42"/>
      <c r="U12" s="42"/>
      <c r="V12" s="42"/>
      <c r="W12" s="42"/>
      <c r="X12" s="42"/>
      <c r="Y12" s="45"/>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row>
    <row r="13" spans="1:148" s="38" customFormat="1" ht="30" customHeight="1" thickBot="1" x14ac:dyDescent="0.3">
      <c r="A13" s="7"/>
      <c r="B13" s="43" t="s">
        <v>17</v>
      </c>
      <c r="C13" s="40" t="s">
        <v>27</v>
      </c>
      <c r="D13" s="44">
        <v>1</v>
      </c>
      <c r="E13" s="77">
        <v>45602</v>
      </c>
      <c r="F13" s="77">
        <v>45610</v>
      </c>
      <c r="G13" s="11"/>
      <c r="H13" s="5">
        <f t="shared" si="57"/>
        <v>9</v>
      </c>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row>
    <row r="14" spans="1:148" s="38" customFormat="1" ht="30" customHeight="1" thickBot="1" x14ac:dyDescent="0.3">
      <c r="A14" s="7"/>
      <c r="B14" s="43" t="s">
        <v>18</v>
      </c>
      <c r="C14" s="40" t="s">
        <v>27</v>
      </c>
      <c r="D14" s="44">
        <v>1</v>
      </c>
      <c r="E14" s="77">
        <v>45566</v>
      </c>
      <c r="F14" s="77">
        <v>45632</v>
      </c>
      <c r="G14" s="11"/>
      <c r="H14" s="5">
        <f t="shared" si="57"/>
        <v>67</v>
      </c>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row>
    <row r="15" spans="1:148" s="38" customFormat="1" ht="30" customHeight="1" thickBot="1" x14ac:dyDescent="0.3">
      <c r="A15" s="7"/>
      <c r="B15" s="43" t="s">
        <v>19</v>
      </c>
      <c r="C15" s="40" t="s">
        <v>27</v>
      </c>
      <c r="D15" s="44">
        <v>1</v>
      </c>
      <c r="E15" s="77">
        <v>45586</v>
      </c>
      <c r="F15" s="77">
        <v>45603</v>
      </c>
      <c r="G15" s="11"/>
      <c r="H15" s="5">
        <f t="shared" si="57"/>
        <v>18</v>
      </c>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row>
    <row r="16" spans="1:148" s="38" customFormat="1" ht="30" customHeight="1" thickBot="1" x14ac:dyDescent="0.3">
      <c r="A16" s="8"/>
      <c r="B16" s="46" t="s">
        <v>13</v>
      </c>
      <c r="C16" s="47"/>
      <c r="D16" s="48"/>
      <c r="E16" s="49"/>
      <c r="F16" s="50"/>
      <c r="G16" s="11"/>
      <c r="H16" s="5" t="str">
        <f t="shared" si="57"/>
        <v/>
      </c>
    </row>
    <row r="17" spans="1:134" s="38" customFormat="1" ht="30" customHeight="1" thickBot="1" x14ac:dyDescent="0.3">
      <c r="A17" s="8"/>
      <c r="B17" s="80" t="s">
        <v>21</v>
      </c>
      <c r="C17" s="52" t="s">
        <v>20</v>
      </c>
      <c r="D17" s="53">
        <v>1</v>
      </c>
      <c r="E17" s="78">
        <v>45537</v>
      </c>
      <c r="F17" s="78">
        <v>45572</v>
      </c>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row>
    <row r="18" spans="1:134" s="38" customFormat="1" ht="30" customHeight="1" thickBot="1" x14ac:dyDescent="0.3">
      <c r="A18" s="7"/>
      <c r="B18" s="51" t="s">
        <v>22</v>
      </c>
      <c r="C18" s="52" t="s">
        <v>20</v>
      </c>
      <c r="D18" s="53">
        <v>1</v>
      </c>
      <c r="E18" s="78">
        <v>45540</v>
      </c>
      <c r="F18" s="78">
        <v>45547</v>
      </c>
      <c r="G18" s="11"/>
      <c r="H18" s="5">
        <f t="shared" si="57"/>
        <v>8</v>
      </c>
      <c r="I18" s="42"/>
      <c r="J18" s="42"/>
      <c r="K18" s="42"/>
      <c r="L18" s="42"/>
      <c r="M18" s="42"/>
      <c r="N18" s="42"/>
      <c r="O18" s="42"/>
      <c r="P18" s="42"/>
      <c r="Q18" s="42"/>
      <c r="R18" s="42"/>
      <c r="S18" s="42"/>
      <c r="T18" s="42"/>
      <c r="U18" s="45"/>
      <c r="V18" s="45"/>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5"/>
      <c r="CC18" s="45"/>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row>
    <row r="19" spans="1:134" s="38" customFormat="1" ht="30" customHeight="1" thickBot="1" x14ac:dyDescent="0.3">
      <c r="A19" s="7"/>
      <c r="B19" s="51" t="s">
        <v>23</v>
      </c>
      <c r="C19" s="52" t="s">
        <v>20</v>
      </c>
      <c r="D19" s="53">
        <v>1</v>
      </c>
      <c r="E19" s="78">
        <v>45537</v>
      </c>
      <c r="F19" s="78">
        <v>45568</v>
      </c>
      <c r="G19" s="11"/>
      <c r="H19" s="5">
        <f t="shared" si="57"/>
        <v>32</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row>
    <row r="20" spans="1:134" s="38" customFormat="1" ht="30" customHeight="1" thickBot="1" x14ac:dyDescent="0.3">
      <c r="A20" s="7"/>
      <c r="B20" s="51" t="s">
        <v>24</v>
      </c>
      <c r="C20" s="52" t="s">
        <v>20</v>
      </c>
      <c r="D20" s="53">
        <v>1</v>
      </c>
      <c r="E20" s="78">
        <v>45568</v>
      </c>
      <c r="F20" s="78">
        <v>45577</v>
      </c>
      <c r="G20" s="11"/>
      <c r="H20" s="5">
        <f t="shared" si="57"/>
        <v>10</v>
      </c>
      <c r="I20" s="42"/>
      <c r="J20" s="42"/>
      <c r="K20" s="42"/>
      <c r="L20" s="42"/>
      <c r="M20" s="42"/>
      <c r="N20" s="42"/>
      <c r="O20" s="42"/>
      <c r="P20" s="42"/>
      <c r="Q20" s="42"/>
      <c r="R20" s="42"/>
      <c r="S20" s="42"/>
      <c r="T20" s="42"/>
      <c r="U20" s="42"/>
      <c r="V20" s="42"/>
      <c r="W20" s="42"/>
      <c r="X20" s="42"/>
      <c r="Y20" s="45"/>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5"/>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row>
    <row r="21" spans="1:134" s="38" customFormat="1" ht="30" customHeight="1" thickBot="1" x14ac:dyDescent="0.3">
      <c r="A21" s="7"/>
      <c r="B21" s="51" t="s">
        <v>25</v>
      </c>
      <c r="C21" s="52" t="s">
        <v>20</v>
      </c>
      <c r="D21" s="53">
        <v>1</v>
      </c>
      <c r="E21" s="78">
        <v>45608</v>
      </c>
      <c r="F21" s="78">
        <v>45624</v>
      </c>
      <c r="G21" s="11"/>
      <c r="H21" s="5">
        <f t="shared" si="57"/>
        <v>17</v>
      </c>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row>
    <row r="22" spans="1:134" s="38" customFormat="1" ht="30" customHeight="1" thickBot="1" x14ac:dyDescent="0.3">
      <c r="A22" s="7"/>
      <c r="B22" s="54" t="s">
        <v>26</v>
      </c>
      <c r="C22" s="55"/>
      <c r="D22" s="56"/>
      <c r="E22" s="57"/>
      <c r="F22" s="58"/>
      <c r="G22" s="11"/>
      <c r="H22" s="5" t="str">
        <f t="shared" si="57"/>
        <v/>
      </c>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row>
    <row r="23" spans="1:134" s="38" customFormat="1" ht="30" customHeight="1" thickBot="1" x14ac:dyDescent="0.3">
      <c r="A23" s="7"/>
      <c r="B23" s="60" t="s">
        <v>29</v>
      </c>
      <c r="C23" s="61" t="s">
        <v>28</v>
      </c>
      <c r="D23" s="62">
        <v>1</v>
      </c>
      <c r="E23" s="79">
        <v>45545</v>
      </c>
      <c r="F23" s="79">
        <v>45546</v>
      </c>
      <c r="G23" s="11"/>
      <c r="H23" s="5">
        <f t="shared" si="57"/>
        <v>2</v>
      </c>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W23" s="42"/>
      <c r="DX23" s="42"/>
      <c r="DY23" s="42"/>
      <c r="DZ23" s="42"/>
      <c r="EA23" s="42"/>
      <c r="EB23" s="42"/>
      <c r="ED23" s="42"/>
    </row>
    <row r="24" spans="1:134" s="38" customFormat="1" ht="30" customHeight="1" thickBot="1" x14ac:dyDescent="0.3">
      <c r="A24" s="7"/>
      <c r="B24" s="60" t="s">
        <v>30</v>
      </c>
      <c r="C24" s="61" t="s">
        <v>28</v>
      </c>
      <c r="D24" s="62">
        <v>1</v>
      </c>
      <c r="E24" s="79">
        <v>45548</v>
      </c>
      <c r="F24" s="79">
        <v>45618</v>
      </c>
      <c r="G24" s="11"/>
      <c r="H24" s="5">
        <f t="shared" si="57"/>
        <v>71</v>
      </c>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row>
    <row r="25" spans="1:134" s="38" customFormat="1" ht="30" customHeight="1" thickBot="1" x14ac:dyDescent="0.3">
      <c r="A25" s="7"/>
      <c r="B25" s="60" t="s">
        <v>31</v>
      </c>
      <c r="C25" s="61" t="s">
        <v>28</v>
      </c>
      <c r="D25" s="62">
        <v>1</v>
      </c>
      <c r="E25" s="79">
        <v>45567</v>
      </c>
      <c r="F25" s="79">
        <v>45601</v>
      </c>
      <c r="G25" s="11"/>
      <c r="H25" s="5">
        <f t="shared" si="57"/>
        <v>35</v>
      </c>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row>
    <row r="26" spans="1:134" s="38" customFormat="1" ht="30" customHeight="1" thickBot="1" x14ac:dyDescent="0.3">
      <c r="A26" s="7"/>
      <c r="B26" s="60" t="s">
        <v>32</v>
      </c>
      <c r="C26" s="61" t="s">
        <v>28</v>
      </c>
      <c r="D26" s="62">
        <v>1</v>
      </c>
      <c r="E26" s="79">
        <v>45548</v>
      </c>
      <c r="F26" s="79">
        <v>45598</v>
      </c>
      <c r="G26" s="11"/>
      <c r="H26" s="5">
        <f t="shared" si="57"/>
        <v>51</v>
      </c>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row>
    <row r="27" spans="1:134" s="38" customFormat="1" ht="30" customHeight="1" thickBot="1" x14ac:dyDescent="0.3">
      <c r="A27" s="7"/>
      <c r="B27" s="60" t="s">
        <v>33</v>
      </c>
      <c r="C27" s="61" t="s">
        <v>28</v>
      </c>
      <c r="D27" s="62">
        <v>1</v>
      </c>
      <c r="E27" s="79">
        <v>45623</v>
      </c>
      <c r="F27" s="79">
        <v>45761</v>
      </c>
      <c r="G27" s="11"/>
      <c r="H27" s="5">
        <f t="shared" si="57"/>
        <v>139</v>
      </c>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row>
    <row r="28" spans="1:134" s="38" customFormat="1" ht="30" customHeight="1" thickBot="1" x14ac:dyDescent="0.3">
      <c r="A28" s="7"/>
      <c r="B28" s="63"/>
      <c r="C28" s="64"/>
      <c r="D28" s="65"/>
      <c r="E28" s="66"/>
      <c r="F28" s="66"/>
      <c r="G28" s="11"/>
      <c r="H28" s="5"/>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row>
    <row r="29" spans="1:134" s="38" customFormat="1" ht="30" customHeight="1" thickBot="1" x14ac:dyDescent="0.3">
      <c r="A29" s="7"/>
      <c r="B29" s="67"/>
      <c r="C29" s="68"/>
      <c r="D29" s="69"/>
      <c r="E29" s="70"/>
      <c r="F29" s="71"/>
      <c r="G29" s="11"/>
      <c r="H29" s="6" t="str">
        <f t="shared" si="57"/>
        <v/>
      </c>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row>
    <row r="30" spans="1:134" s="38" customFormat="1" ht="30" customHeight="1" x14ac:dyDescent="0.25">
      <c r="A30" s="7"/>
      <c r="B30"/>
      <c r="C30"/>
      <c r="D30"/>
      <c r="E30" s="2"/>
      <c r="F30"/>
      <c r="G30" s="3"/>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1:134" s="38" customFormat="1" ht="30" customHeight="1" x14ac:dyDescent="0.25">
      <c r="A31" s="7"/>
      <c r="B31"/>
      <c r="C31" s="10"/>
      <c r="D31"/>
      <c r="E31" s="2"/>
      <c r="F31" s="9"/>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134" s="38" customFormat="1" ht="30" customHeight="1" x14ac:dyDescent="0.25">
      <c r="A32" s="7"/>
      <c r="B32"/>
      <c r="C32" s="4"/>
      <c r="D32"/>
      <c r="E32" s="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38" customFormat="1" ht="30" customHeight="1" x14ac:dyDescent="0.25">
      <c r="A33" s="7"/>
      <c r="B33"/>
      <c r="C33"/>
      <c r="D33"/>
      <c r="E33" s="2"/>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s="38" customFormat="1" ht="30" customHeight="1" x14ac:dyDescent="0.25">
      <c r="A34" s="7"/>
      <c r="B34"/>
      <c r="C34"/>
      <c r="D34"/>
      <c r="E34" s="2"/>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1:64" s="38" customFormat="1" ht="30" customHeight="1" x14ac:dyDescent="0.25">
      <c r="A35" s="8"/>
      <c r="B35"/>
      <c r="C35"/>
      <c r="D35"/>
      <c r="E35" s="2"/>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sheetData>
  <mergeCells count="2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 ref="BM4:BS4"/>
    <mergeCell ref="BT4:BZ4"/>
    <mergeCell ref="CA4:CG4"/>
    <mergeCell ref="CH4:CN4"/>
    <mergeCell ref="CO4:CU4"/>
    <mergeCell ref="CV4:DB4"/>
    <mergeCell ref="DC4:DI4"/>
    <mergeCell ref="DJ4:DP4"/>
    <mergeCell ref="DQ4:DW4"/>
    <mergeCell ref="DX4:ED4"/>
  </mergeCells>
  <conditionalFormatting sqref="D7:D29">
    <cfRule type="dataBar" priority="198">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6 DC17:DP18 ER9 DN23:DT23 DW23:EA23 ED23 DN24:ED27 I21:BL27 I20:AM20 AZ20:BL20 AR19:BL19 I18:K18 T18:BL18 AT17:BL17">
    <cfRule type="expression" dxfId="94" priority="176">
      <formula>AND(TODAY()&gt;=I$5, TODAY()&lt;J$5)</formula>
    </cfRule>
  </conditionalFormatting>
  <conditionalFormatting sqref="AT17:BV17 I21:BV21 I20:AM20 AZ20:BV20 AR19:BV19 I18:K18 T18:BV18">
    <cfRule type="expression" dxfId="93" priority="109" stopIfTrue="1">
      <formula>AND(task_end&gt;=I$5,task_start&lt;J$5)</formula>
    </cfRule>
    <cfRule type="expression" dxfId="92" priority="108">
      <formula>AND(task_start&lt;=I$5,ROUNDDOWN((task_end-task_start+1)*task_progress,0)+task_start-1&gt;=I$5)</formula>
    </cfRule>
  </conditionalFormatting>
  <conditionalFormatting sqref="I23:DM27">
    <cfRule type="expression" dxfId="91" priority="75">
      <formula>AND(task_start&lt;=I$5,ROUNDDOWN((task_end-task_start+1)*task_progress,0)+task_start-1&gt;=I$5)</formula>
    </cfRule>
  </conditionalFormatting>
  <conditionalFormatting sqref="I9:ED15">
    <cfRule type="expression" dxfId="90" priority="126">
      <formula>AND(task_start&lt;=I$5,ROUNDDOWN((task_end-task_start+1)*task_progress,0)+task_start-1&gt;=I$5)</formula>
    </cfRule>
  </conditionalFormatting>
  <conditionalFormatting sqref="BM17:DB21">
    <cfRule type="expression" dxfId="89" priority="89">
      <formula>AND(TODAY()&gt;=BM$5, TODAY()&lt;BN$5)</formula>
    </cfRule>
  </conditionalFormatting>
  <conditionalFormatting sqref="BM23:DM27">
    <cfRule type="expression" dxfId="88" priority="74">
      <formula>AND(TODAY()&gt;=BM$5, TODAY()&lt;BN$5)</formula>
    </cfRule>
    <cfRule type="expression" dxfId="87" priority="76" stopIfTrue="1">
      <formula>AND(task_end&gt;=BM$5,task_start&lt;BN$5)</formula>
    </cfRule>
  </conditionalFormatting>
  <conditionalFormatting sqref="BM4:ED6">
    <cfRule type="expression" dxfId="86" priority="124">
      <formula>AND(TODAY()&gt;=BM$5, TODAY()&lt;BN$5)</formula>
    </cfRule>
  </conditionalFormatting>
  <conditionalFormatting sqref="BM9:ED15">
    <cfRule type="expression" dxfId="85" priority="127" stopIfTrue="1">
      <formula>AND(task_end&gt;=BM$5,task_start&lt;BN$5)</formula>
    </cfRule>
    <cfRule type="expression" dxfId="84" priority="125">
      <formula>AND(TODAY()&gt;=BM$5, TODAY()&lt;BN$5)</formula>
    </cfRule>
  </conditionalFormatting>
  <conditionalFormatting sqref="BW17:CG21">
    <cfRule type="expression" dxfId="83" priority="90">
      <formula>AND(task_start&lt;=BW$5,ROUNDDOWN((task_end-task_start+1)*task_progress,0)+task_start-1&gt;=BW$5)</formula>
    </cfRule>
    <cfRule type="expression" dxfId="82" priority="91" stopIfTrue="1">
      <formula>AND(task_end&gt;=BW$5,task_start&lt;BX$5)</formula>
    </cfRule>
  </conditionalFormatting>
  <conditionalFormatting sqref="CH17:ED18">
    <cfRule type="expression" dxfId="81" priority="94" stopIfTrue="1">
      <formula>AND(task_end&gt;=CH$5,task_start&lt;CI$5)</formula>
    </cfRule>
  </conditionalFormatting>
  <conditionalFormatting sqref="CH17:ED21">
    <cfRule type="expression" dxfId="80" priority="93">
      <formula>AND(task_start&lt;=CH$5,ROUNDDOWN((task_end-task_start+1)*task_progress,0)+task_start-1&gt;=CH$5)</formula>
    </cfRule>
  </conditionalFormatting>
  <conditionalFormatting sqref="CH19:ED21">
    <cfRule type="expression" dxfId="79" priority="100" stopIfTrue="1">
      <formula>AND(task_end&gt;=CH$5,task_start&lt;CI$5)</formula>
    </cfRule>
  </conditionalFormatting>
  <conditionalFormatting sqref="DC19:ED21">
    <cfRule type="expression" dxfId="78" priority="98">
      <formula>AND(TODAY()&gt;=DC$5, TODAY()&lt;DD$5)</formula>
    </cfRule>
  </conditionalFormatting>
  <conditionalFormatting sqref="DN23:DT23 DW23:EA23 ED23 DN24:ED27 I23:BL27">
    <cfRule type="expression" dxfId="77" priority="178" stopIfTrue="1">
      <formula>AND(task_end&gt;=I$5,task_start&lt;J$5)</formula>
    </cfRule>
  </conditionalFormatting>
  <conditionalFormatting sqref="DN23:DT23 DW23:EA23 ED23 DN24:ED27">
    <cfRule type="expression" dxfId="76" priority="177">
      <formula>AND(task_start&lt;=DN$5,ROUNDDOWN((task_end-task_start+1)*task_progress,0)+task_start-1&gt;=DN$5)</formula>
    </cfRule>
  </conditionalFormatting>
  <conditionalFormatting sqref="DQ17:ED18">
    <cfRule type="expression" dxfId="75" priority="92">
      <formula>AND(TODAY()&gt;=DQ$5, TODAY()&lt;DR$5)</formula>
    </cfRule>
  </conditionalFormatting>
  <conditionalFormatting sqref="DU23">
    <cfRule type="expression" dxfId="74" priority="204" stopIfTrue="1">
      <formula>AND(task_end&gt;=DV$5,task_start&lt;DW$5)</formula>
    </cfRule>
    <cfRule type="expression" dxfId="73" priority="203">
      <formula>AND(task_start&lt;=DV$5,ROUNDDOWN((task_end-task_start+1)*task_progress,0)+task_start-1&gt;=DV$5)</formula>
    </cfRule>
    <cfRule type="expression" dxfId="72" priority="200">
      <formula>AND(TODAY()&gt;=DV$5, TODAY()&lt;DW$5)</formula>
    </cfRule>
  </conditionalFormatting>
  <conditionalFormatting sqref="EB23">
    <cfRule type="expression" dxfId="71" priority="68">
      <formula>AND(TODAY()&gt;=EC$5, TODAY()&lt;ED$5)</formula>
    </cfRule>
    <cfRule type="expression" dxfId="70" priority="69">
      <formula>AND(task_start&lt;=EC$5,ROUNDDOWN((task_end-task_start+1)*task_progress,0)+task_start-1&gt;=EC$5)</formula>
    </cfRule>
    <cfRule type="expression" dxfId="69" priority="70" stopIfTrue="1">
      <formula>AND(task_end&gt;=EC$5,task_start&lt;ED$5)</formula>
    </cfRule>
  </conditionalFormatting>
  <conditionalFormatting sqref="ER9 I9:BL15">
    <cfRule type="expression" dxfId="68" priority="182" stopIfTrue="1">
      <formula>AND(task_end&gt;=I$5,task_start&lt;J$5)</formula>
    </cfRule>
  </conditionalFormatting>
  <conditionalFormatting sqref="ER9">
    <cfRule type="expression" dxfId="67" priority="181">
      <formula>AND(task_start&lt;=ER$5,ROUNDDOWN((task_end-task_start+1)*task_progress,0)+task_start-1&gt;=ER$5)</formula>
    </cfRule>
  </conditionalFormatting>
  <conditionalFormatting sqref="CH21:CM21">
    <cfRule type="expression" dxfId="66" priority="66">
      <formula>AND(task_start&lt;=CH$5,ROUNDDOWN((task_end-task_start+1)*task_progress,0)+task_start-1&gt;=CH$5)</formula>
    </cfRule>
    <cfRule type="expression" dxfId="65" priority="67" stopIfTrue="1">
      <formula>AND(task_end&gt;=CH$5,task_start&lt;CI$5)</formula>
    </cfRule>
  </conditionalFormatting>
  <conditionalFormatting sqref="CN21:CS21">
    <cfRule type="expression" dxfId="64" priority="64">
      <formula>AND(task_start&lt;=CN$5,ROUNDDOWN((task_end-task_start+1)*task_progress,0)+task_start-1&gt;=CN$5)</formula>
    </cfRule>
    <cfRule type="expression" dxfId="63" priority="65" stopIfTrue="1">
      <formula>AND(task_end&gt;=CN$5,task_start&lt;CO$5)</formula>
    </cfRule>
  </conditionalFormatting>
  <conditionalFormatting sqref="AN20:AS20">
    <cfRule type="expression" dxfId="62" priority="61">
      <formula>AND(TODAY()&gt;=AN$5, TODAY()&lt;AO$5)</formula>
    </cfRule>
  </conditionalFormatting>
  <conditionalFormatting sqref="AN20:AS20">
    <cfRule type="expression" dxfId="61" priority="62">
      <formula>AND(task_start&lt;=AN$5,ROUNDDOWN((task_end-task_start+1)*task_progress,0)+task_start-1&gt;=AN$5)</formula>
    </cfRule>
    <cfRule type="expression" dxfId="60" priority="63" stopIfTrue="1">
      <formula>AND(task_end&gt;=AN$5,task_start&lt;AO$5)</formula>
    </cfRule>
  </conditionalFormatting>
  <conditionalFormatting sqref="AT20:AY20">
    <cfRule type="expression" dxfId="59" priority="58">
      <formula>AND(TODAY()&gt;=AT$5, TODAY()&lt;AU$5)</formula>
    </cfRule>
  </conditionalFormatting>
  <conditionalFormatting sqref="AT20:AY20">
    <cfRule type="expression" dxfId="58" priority="59">
      <formula>AND(task_start&lt;=AT$5,ROUNDDOWN((task_end-task_start+1)*task_progress,0)+task_start-1&gt;=AT$5)</formula>
    </cfRule>
    <cfRule type="expression" dxfId="57" priority="60" stopIfTrue="1">
      <formula>AND(task_end&gt;=AT$5,task_start&lt;AU$5)</formula>
    </cfRule>
  </conditionalFormatting>
  <conditionalFormatting sqref="I19:M19">
    <cfRule type="expression" dxfId="56" priority="55">
      <formula>AND(TODAY()&gt;=I$5, TODAY()&lt;J$5)</formula>
    </cfRule>
  </conditionalFormatting>
  <conditionalFormatting sqref="I19:M19">
    <cfRule type="expression" dxfId="55" priority="56">
      <formula>AND(task_start&lt;=I$5,ROUNDDOWN((task_end-task_start+1)*task_progress,0)+task_start-1&gt;=I$5)</formula>
    </cfRule>
    <cfRule type="expression" dxfId="54" priority="57" stopIfTrue="1">
      <formula>AND(task_end&gt;=I$5,task_start&lt;J$5)</formula>
    </cfRule>
  </conditionalFormatting>
  <conditionalFormatting sqref="N19:P19">
    <cfRule type="expression" dxfId="53" priority="52">
      <formula>AND(TODAY()&gt;=N$5, TODAY()&lt;O$5)</formula>
    </cfRule>
  </conditionalFormatting>
  <conditionalFormatting sqref="N19:P19">
    <cfRule type="expression" dxfId="52" priority="53">
      <formula>AND(task_start&lt;=N$5,ROUNDDOWN((task_end-task_start+1)*task_progress,0)+task_start-1&gt;=N$5)</formula>
    </cfRule>
    <cfRule type="expression" dxfId="51" priority="54" stopIfTrue="1">
      <formula>AND(task_end&gt;=N$5,task_start&lt;O$5)</formula>
    </cfRule>
  </conditionalFormatting>
  <conditionalFormatting sqref="Q19:R19">
    <cfRule type="expression" dxfId="50" priority="49">
      <formula>AND(TODAY()&gt;=Q$5, TODAY()&lt;R$5)</formula>
    </cfRule>
  </conditionalFormatting>
  <conditionalFormatting sqref="Q19:R19">
    <cfRule type="expression" dxfId="49" priority="50">
      <formula>AND(task_start&lt;=Q$5,ROUNDDOWN((task_end-task_start+1)*task_progress,0)+task_start-1&gt;=Q$5)</formula>
    </cfRule>
    <cfRule type="expression" dxfId="48" priority="51" stopIfTrue="1">
      <formula>AND(task_end&gt;=Q$5,task_start&lt;R$5)</formula>
    </cfRule>
  </conditionalFormatting>
  <conditionalFormatting sqref="S19:T19">
    <cfRule type="expression" dxfId="47" priority="46">
      <formula>AND(TODAY()&gt;=S$5, TODAY()&lt;T$5)</formula>
    </cfRule>
  </conditionalFormatting>
  <conditionalFormatting sqref="S19:T19">
    <cfRule type="expression" dxfId="46" priority="47">
      <formula>AND(task_start&lt;=S$5,ROUNDDOWN((task_end-task_start+1)*task_progress,0)+task_start-1&gt;=S$5)</formula>
    </cfRule>
    <cfRule type="expression" dxfId="45" priority="48" stopIfTrue="1">
      <formula>AND(task_end&gt;=S$5,task_start&lt;T$5)</formula>
    </cfRule>
  </conditionalFormatting>
  <conditionalFormatting sqref="U19:Y19">
    <cfRule type="expression" dxfId="44" priority="43">
      <formula>AND(TODAY()&gt;=U$5, TODAY()&lt;V$5)</formula>
    </cfRule>
  </conditionalFormatting>
  <conditionalFormatting sqref="U19:Y19">
    <cfRule type="expression" dxfId="43" priority="44">
      <formula>AND(task_start&lt;=U$5,ROUNDDOWN((task_end-task_start+1)*task_progress,0)+task_start-1&gt;=U$5)</formula>
    </cfRule>
    <cfRule type="expression" dxfId="42" priority="45" stopIfTrue="1">
      <formula>AND(task_end&gt;=U$5,task_start&lt;V$5)</formula>
    </cfRule>
  </conditionalFormatting>
  <conditionalFormatting sqref="Z19:AD19">
    <cfRule type="expression" dxfId="41" priority="40">
      <formula>AND(TODAY()&gt;=Z$5, TODAY()&lt;AA$5)</formula>
    </cfRule>
  </conditionalFormatting>
  <conditionalFormatting sqref="Z19:AD19">
    <cfRule type="expression" dxfId="40" priority="41">
      <formula>AND(task_start&lt;=Z$5,ROUNDDOWN((task_end-task_start+1)*task_progress,0)+task_start-1&gt;=Z$5)</formula>
    </cfRule>
    <cfRule type="expression" dxfId="39" priority="42" stopIfTrue="1">
      <formula>AND(task_end&gt;=Z$5,task_start&lt;AA$5)</formula>
    </cfRule>
  </conditionalFormatting>
  <conditionalFormatting sqref="AE19:AJ19">
    <cfRule type="expression" dxfId="38" priority="37">
      <formula>AND(TODAY()&gt;=AE$5, TODAY()&lt;AF$5)</formula>
    </cfRule>
  </conditionalFormatting>
  <conditionalFormatting sqref="AE19:AJ19">
    <cfRule type="expression" dxfId="37" priority="38">
      <formula>AND(task_start&lt;=AE$5,ROUNDDOWN((task_end-task_start+1)*task_progress,0)+task_start-1&gt;=AE$5)</formula>
    </cfRule>
    <cfRule type="expression" dxfId="36" priority="39" stopIfTrue="1">
      <formula>AND(task_end&gt;=AE$5,task_start&lt;AF$5)</formula>
    </cfRule>
  </conditionalFormatting>
  <conditionalFormatting sqref="AQ19">
    <cfRule type="expression" dxfId="35" priority="34">
      <formula>AND(TODAY()&gt;=AQ$5, TODAY()&lt;AR$5)</formula>
    </cfRule>
  </conditionalFormatting>
  <conditionalFormatting sqref="AQ19">
    <cfRule type="expression" dxfId="34" priority="35">
      <formula>AND(task_start&lt;=AQ$5,ROUNDDOWN((task_end-task_start+1)*task_progress,0)+task_start-1&gt;=AQ$5)</formula>
    </cfRule>
    <cfRule type="expression" dxfId="33" priority="36" stopIfTrue="1">
      <formula>AND(task_end&gt;=AQ$5,task_start&lt;AR$5)</formula>
    </cfRule>
  </conditionalFormatting>
  <conditionalFormatting sqref="AK19:AP19">
    <cfRule type="expression" dxfId="32" priority="31">
      <formula>AND(TODAY()&gt;=AK$5, TODAY()&lt;AL$5)</formula>
    </cfRule>
  </conditionalFormatting>
  <conditionalFormatting sqref="AK19:AP19">
    <cfRule type="expression" dxfId="31" priority="32">
      <formula>AND(task_start&lt;=AK$5,ROUNDDOWN((task_end-task_start+1)*task_progress,0)+task_start-1&gt;=AK$5)</formula>
    </cfRule>
    <cfRule type="expression" dxfId="30" priority="33" stopIfTrue="1">
      <formula>AND(task_end&gt;=AK$5,task_start&lt;AL$5)</formula>
    </cfRule>
  </conditionalFormatting>
  <conditionalFormatting sqref="L18:M18">
    <cfRule type="expression" dxfId="29" priority="28">
      <formula>AND(TODAY()&gt;=L$5, TODAY()&lt;M$5)</formula>
    </cfRule>
  </conditionalFormatting>
  <conditionalFormatting sqref="L18:M18">
    <cfRule type="expression" dxfId="28" priority="29">
      <formula>AND(task_start&lt;=L$5,ROUNDDOWN((task_end-task_start+1)*task_progress,0)+task_start-1&gt;=L$5)</formula>
    </cfRule>
    <cfRule type="expression" dxfId="27" priority="30" stopIfTrue="1">
      <formula>AND(task_end&gt;=L$5,task_start&lt;M$5)</formula>
    </cfRule>
  </conditionalFormatting>
  <conditionalFormatting sqref="N18:S18">
    <cfRule type="expression" dxfId="26" priority="25">
      <formula>AND(TODAY()&gt;=N$5, TODAY()&lt;O$5)</formula>
    </cfRule>
  </conditionalFormatting>
  <conditionalFormatting sqref="N18:S18">
    <cfRule type="expression" dxfId="25" priority="26">
      <formula>AND(task_start&lt;=N$5,ROUNDDOWN((task_end-task_start+1)*task_progress,0)+task_start-1&gt;=N$5)</formula>
    </cfRule>
    <cfRule type="expression" dxfId="24" priority="27" stopIfTrue="1">
      <formula>AND(task_end&gt;=N$5,task_start&lt;O$5)</formula>
    </cfRule>
  </conditionalFormatting>
  <conditionalFormatting sqref="G17:K17">
    <cfRule type="expression" dxfId="23" priority="22">
      <formula>AND(TODAY()&gt;=G$5, TODAY()&lt;H$5)</formula>
    </cfRule>
  </conditionalFormatting>
  <conditionalFormatting sqref="G17:K17">
    <cfRule type="expression" dxfId="22" priority="23">
      <formula>AND(task_start&lt;=G$5,ROUNDDOWN((task_end-task_start+1)*task_progress,0)+task_start-1&gt;=G$5)</formula>
    </cfRule>
    <cfRule type="expression" dxfId="21" priority="24" stopIfTrue="1">
      <formula>AND(task_end&gt;=G$5,task_start&lt;H$5)</formula>
    </cfRule>
  </conditionalFormatting>
  <conditionalFormatting sqref="L17:P17">
    <cfRule type="expression" dxfId="20" priority="19">
      <formula>AND(TODAY()&gt;=L$5, TODAY()&lt;M$5)</formula>
    </cfRule>
  </conditionalFormatting>
  <conditionalFormatting sqref="L17:P17">
    <cfRule type="expression" dxfId="19" priority="20">
      <formula>AND(task_start&lt;=L$5,ROUNDDOWN((task_end-task_start+1)*task_progress,0)+task_start-1&gt;=L$5)</formula>
    </cfRule>
    <cfRule type="expression" dxfId="18" priority="21" stopIfTrue="1">
      <formula>AND(task_end&gt;=L$5,task_start&lt;M$5)</formula>
    </cfRule>
  </conditionalFormatting>
  <conditionalFormatting sqref="Q17:U17">
    <cfRule type="expression" dxfId="17" priority="16">
      <formula>AND(TODAY()&gt;=Q$5, TODAY()&lt;R$5)</formula>
    </cfRule>
  </conditionalFormatting>
  <conditionalFormatting sqref="Q17:U17">
    <cfRule type="expression" dxfId="16" priority="17">
      <formula>AND(task_start&lt;=Q$5,ROUNDDOWN((task_end-task_start+1)*task_progress,0)+task_start-1&gt;=Q$5)</formula>
    </cfRule>
    <cfRule type="expression" dxfId="15" priority="18" stopIfTrue="1">
      <formula>AND(task_end&gt;=Q$5,task_start&lt;R$5)</formula>
    </cfRule>
  </conditionalFormatting>
  <conditionalFormatting sqref="V17:Y17">
    <cfRule type="expression" dxfId="14" priority="13">
      <formula>AND(TODAY()&gt;=V$5, TODAY()&lt;W$5)</formula>
    </cfRule>
  </conditionalFormatting>
  <conditionalFormatting sqref="V17:Y17">
    <cfRule type="expression" dxfId="13" priority="14">
      <formula>AND(task_start&lt;=V$5,ROUNDDOWN((task_end-task_start+1)*task_progress,0)+task_start-1&gt;=V$5)</formula>
    </cfRule>
    <cfRule type="expression" dxfId="12" priority="15" stopIfTrue="1">
      <formula>AND(task_end&gt;=V$5,task_start&lt;W$5)</formula>
    </cfRule>
  </conditionalFormatting>
  <conditionalFormatting sqref="Z17:AD17">
    <cfRule type="expression" dxfId="11" priority="10">
      <formula>AND(TODAY()&gt;=Z$5, TODAY()&lt;AA$5)</formula>
    </cfRule>
  </conditionalFormatting>
  <conditionalFormatting sqref="Z17:AD17">
    <cfRule type="expression" dxfId="10" priority="11">
      <formula>AND(task_start&lt;=Z$5,ROUNDDOWN((task_end-task_start+1)*task_progress,0)+task_start-1&gt;=Z$5)</formula>
    </cfRule>
    <cfRule type="expression" dxfId="9" priority="12" stopIfTrue="1">
      <formula>AND(task_end&gt;=Z$5,task_start&lt;AA$5)</formula>
    </cfRule>
  </conditionalFormatting>
  <conditionalFormatting sqref="AE17:AI17">
    <cfRule type="expression" dxfId="8" priority="7">
      <formula>AND(TODAY()&gt;=AE$5, TODAY()&lt;AF$5)</formula>
    </cfRule>
  </conditionalFormatting>
  <conditionalFormatting sqref="AE17:AI17">
    <cfRule type="expression" dxfId="7" priority="8">
      <formula>AND(task_start&lt;=AE$5,ROUNDDOWN((task_end-task_start+1)*task_progress,0)+task_start-1&gt;=AE$5)</formula>
    </cfRule>
    <cfRule type="expression" dxfId="6" priority="9" stopIfTrue="1">
      <formula>AND(task_end&gt;=AE$5,task_start&lt;AF$5)</formula>
    </cfRule>
  </conditionalFormatting>
  <conditionalFormatting sqref="AJ17:AM17">
    <cfRule type="expression" dxfId="5" priority="4">
      <formula>AND(TODAY()&gt;=AJ$5, TODAY()&lt;AK$5)</formula>
    </cfRule>
  </conditionalFormatting>
  <conditionalFormatting sqref="AJ17:AM17">
    <cfRule type="expression" dxfId="4" priority="5">
      <formula>AND(task_start&lt;=AJ$5,ROUNDDOWN((task_end-task_start+1)*task_progress,0)+task_start-1&gt;=AJ$5)</formula>
    </cfRule>
    <cfRule type="expression" dxfId="3" priority="6" stopIfTrue="1">
      <formula>AND(task_end&gt;=AJ$5,task_start&lt;AK$5)</formula>
    </cfRule>
  </conditionalFormatting>
  <conditionalFormatting sqref="AN17:AS17">
    <cfRule type="expression" dxfId="2" priority="1">
      <formula>AND(TODAY()&gt;=AN$5, TODAY()&lt;AO$5)</formula>
    </cfRule>
  </conditionalFormatting>
  <conditionalFormatting sqref="AN17:AS17">
    <cfRule type="expression" dxfId="1" priority="2">
      <formula>AND(task_start&lt;=AN$5,ROUNDDOWN((task_end-task_start+1)*task_progress,0)+task_start-1&gt;=AN$5)</formula>
    </cfRule>
    <cfRule type="expression" dxfId="0" priority="3" stopIfTrue="1">
      <formula>AND(task_end&gt;=AN$5,task_start&lt;AO$5)</formula>
    </cfRule>
  </conditionalFormatting>
  <dataValidations count="13">
    <dataValidation type="whole" operator="greaterThanOrEqual" allowBlank="1" showInputMessage="1" promptTitle="Display Week" prompt="Changing this number will scroll the Gantt Chart view." sqref="Q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dataValidation allowBlank="1" showInputMessage="1" showErrorMessage="1" prompt="Phase 3's sample block starts in cell B20." sqref="A22"/>
    <dataValidation allowBlank="1" showInputMessage="1" showErrorMessage="1" prompt="Phase 4's sample block starts in cell B26." sqref="A28"/>
    <dataValidation allowBlank="1" showInputMessage="1" showErrorMessage="1" prompt="This row marks the end of the Project Schedule. DO NOT enter anything in this row. _x000a_Insert new rows ABOVE this one to continue building out your Project Schedule." sqref="A3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purl.org/dc/dcmitype/"/>
    <ds:schemaRef ds:uri="http://purl.org/dc/elements/1.1/"/>
    <ds:schemaRef ds:uri="http://schemas.microsoft.com/office/2006/metadata/properties"/>
    <ds:schemaRef ds:uri="http://schemas.microsoft.com/office/infopath/2007/PartnerControls"/>
    <ds:schemaRef ds:uri="http://schemas.microsoft.com/sharepoint/v3"/>
    <ds:schemaRef ds:uri="230e9df3-be65-4c73-a93b-d1236ebd677e"/>
    <ds:schemaRef ds:uri="http://schemas.microsoft.com/office/2006/documentManagement/types"/>
    <ds:schemaRef ds:uri="http://schemas.openxmlformats.org/package/2006/metadata/core-properties"/>
    <ds:schemaRef ds:uri="16c05727-aa75-4e4a-9b5f-8a80a1165891"/>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Bata Dániel</dc:creator>
  <dc:description/>
  <cp:lastModifiedBy>Bata Dániel</cp:lastModifiedBy>
  <dcterms:created xsi:type="dcterms:W3CDTF">2022-03-11T22:41:12Z</dcterms:created>
  <dcterms:modified xsi:type="dcterms:W3CDTF">2025-04-14T13:55:05Z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